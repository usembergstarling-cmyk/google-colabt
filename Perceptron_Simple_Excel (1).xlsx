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ceptrón" sheetId="1" state="visible" r:id="rId3"/>
    <sheet name="Explicación"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Material académico</author>
  </authors>
  <commentList>
    <comment ref="D23" authorId="0">
      <text>
        <r>
          <rPr>
            <sz val="10"/>
            <rFont val="Arial"/>
            <family val="2"/>
          </rPr>
          <t xml:space="preserve">Entrada X1 tomada de la tabla de datos: =INDICE($D$15:$D$18;C23).</t>
        </r>
      </text>
    </comment>
    <comment ref="E7" authorId="0">
      <text>
        <r>
          <rPr>
            <sz val="10"/>
            <rFont val="Arial"/>
            <family val="2"/>
          </rPr>
          <t xml:space="preserve">Peso inicial W1. Puede empezar en cualquier valor; 0 es lo más didáctico porque el primer error obliga a moverlo.</t>
        </r>
      </text>
    </comment>
    <comment ref="E10" authorId="0">
      <text>
        <r>
          <rPr>
            <sz val="10"/>
            <rFont val="Arial"/>
            <family val="2"/>
          </rPr>
          <t xml:space="preserve">Tasa de aprendizaje α. Pruebe 0,05 y 0,5 para ver cómo cambia la velocidad de convergencia.</t>
        </r>
      </text>
    </comment>
    <comment ref="E86" authorId="0">
      <text>
        <r>
          <rPr>
            <sz val="10"/>
            <rFont val="Arial"/>
            <family val="2"/>
          </rPr>
          <t xml:space="preserve">W1 final = último «W1 nuevo» de la tabla de entrenamiento → =M82.</t>
        </r>
      </text>
    </comment>
    <comment ref="E96" authorId="0">
      <text>
        <r>
          <rPr>
            <sz val="10"/>
            <rFont val="Arial"/>
            <family val="2"/>
          </rPr>
          <t xml:space="preserve">Estado final: es «SÍ» cuando el número de errores (celda E93) es 0.</t>
        </r>
      </text>
    </comment>
    <comment ref="G24" authorId="0">
      <text>
        <r>
          <rPr>
            <sz val="10"/>
            <rFont val="Arial"/>
            <family val="2"/>
          </rPr>
          <t xml:space="preserve">Encadenamiento: el W1 de esta fila es el «W1 nuevo» de la fila anterior → =M23. Lo mismo ocurre con W2 (=N23) y el sesgo (=O23).</t>
        </r>
      </text>
    </comment>
    <comment ref="G100" authorId="0">
      <text>
        <r>
          <rPr>
            <sz val="10"/>
            <rFont val="Arial"/>
            <family val="2"/>
          </rPr>
          <t xml:space="preserve">Z final con los pesos entrenados: =D100*$E$86+E100*$E$87+$E$88.</t>
        </r>
      </text>
    </comment>
    <comment ref="I100" authorId="0">
      <text>
        <r>
          <rPr>
            <sz val="10"/>
            <rFont val="Arial"/>
            <family val="2"/>
          </rPr>
          <t xml:space="preserve">¿Correcto? = SI(Y predicho = Y real; «Sí»; «No»).</t>
        </r>
      </text>
    </comment>
    <comment ref="J23" authorId="0">
      <text>
        <r>
          <rPr>
            <sz val="10"/>
            <rFont val="Arial"/>
            <family val="2"/>
          </rPr>
          <t xml:space="preserve">Suma ponderada: Z = X1×W1 + X2×W2 + b. Fórmula: =D23*G23+E23*H23+I23.</t>
        </r>
      </text>
    </comment>
    <comment ref="K23" authorId="0">
      <text>
        <r>
          <rPr>
            <sz val="10"/>
            <rFont val="Arial"/>
            <family val="2"/>
          </rPr>
          <t xml:space="preserve">Función escalón: SI(Z&gt;=0;1;0). Fórmula: =SI(J23&gt;=0;1;0).</t>
        </r>
      </text>
    </comment>
    <comment ref="L23" authorId="0">
      <text>
        <r>
          <rPr>
            <sz val="10"/>
            <rFont val="Arial"/>
            <family val="2"/>
          </rPr>
          <t xml:space="preserve">Error = Y real - Y predicho: =F23-K23. Si es 0, el patrón está bien clasificado y los pesos no cambian.</t>
        </r>
      </text>
    </comment>
    <comment ref="M23" authorId="0">
      <text>
        <r>
          <rPr>
            <sz val="10"/>
            <rFont val="Arial"/>
            <family val="2"/>
          </rPr>
          <t xml:space="preserve">Regla del perceptrón: W1 nuevo = W1 + α×Error×X1 → =G23+$E$10*L23*D23.</t>
        </r>
      </text>
    </comment>
    <comment ref="N23" authorId="0">
      <text>
        <r>
          <rPr>
            <sz val="10"/>
            <rFont val="Arial"/>
            <family val="2"/>
          </rPr>
          <t xml:space="preserve">Regla del perceptrón: W2 nuevo = W2 + α×Error×X2 → =H23+$E$10*L23*E23.</t>
        </r>
      </text>
    </comment>
    <comment ref="O23" authorId="0">
      <text>
        <r>
          <rPr>
            <sz val="10"/>
            <rFont val="Arial"/>
            <family val="2"/>
          </rPr>
          <t xml:space="preserve">Regla del perceptrón: b nuevo = b + α×Error → =I23+$E$10*L23.</t>
        </r>
      </text>
    </comment>
  </commentList>
</comments>
</file>

<file path=xl/sharedStrings.xml><?xml version="1.0" encoding="utf-8"?>
<sst xmlns="http://schemas.openxmlformats.org/spreadsheetml/2006/main" count="166" uniqueCount="148">
  <si>
    <t xml:space="preserve">Perceptrón Simple en Microsoft Excel</t>
  </si>
  <si>
    <t xml:space="preserve">Clasificación binaria · Compuerta lógica AND · Implementado exclusivamente con fórmulas nativas de Excel: sin macros, sin VBA y sin programación externa</t>
  </si>
  <si>
    <t xml:space="preserve">Guía de lectura: celdas con fondo ámbar = valores que usted puede modificar · celdas blancas = calculadas automáticamente con fórmulas · celdas con triángulo rojo en la esquina = llevan una nota explicativa (pase el cursor sobre ellas)</t>
  </si>
  <si>
    <t xml:space="preserve">1 · PARÁMETROS INICIALES (celdas ámbar = modificables)</t>
  </si>
  <si>
    <t xml:space="preserve">W1 inicial (peso de la entrada X1)</t>
  </si>
  <si>
    <t xml:space="preserve">Peso con el que arranca W1; el entrenamiento lo ajusta solo. Regla: W1 nuevo = W1 + α × Error × X1.</t>
  </si>
  <si>
    <t xml:space="preserve">W2 inicial (peso de la entrada X2)</t>
  </si>
  <si>
    <t xml:space="preserve">Peso con el que arranca W2; el entrenamiento lo ajusta solo. Regla: W2 nuevo = W2 + α × Error × X2.</t>
  </si>
  <si>
    <t xml:space="preserve">Sesgo inicial (b)</t>
  </si>
  <si>
    <t xml:space="preserve">Término independiente que se suma en la suma ponderada Z. Regla: b nuevo = b + α × Error.</t>
  </si>
  <si>
    <t xml:space="preserve">Tasa de aprendizaje (α)</t>
  </si>
  <si>
    <t xml:space="preserve">Tamaño de cada corrección (0 &lt; α ≤ 1). Con α pequeño se aprende despacio; con α grande, saltos bruscos.</t>
  </si>
  <si>
    <t xml:space="preserve">Las entradas X1 y X2 y la salida deseada Y real también son modificables: se configuran en la tabla de datos de la sección 2.</t>
  </si>
  <si>
    <t xml:space="preserve">2 · DATOS DE ENTRENAMIENTO — COMPUERTA AND (celdas ámbar = modificables)</t>
  </si>
  <si>
    <t xml:space="preserve">Patrón</t>
  </si>
  <si>
    <t xml:space="preserve">X1</t>
  </si>
  <si>
    <t xml:space="preserve">X2</t>
  </si>
  <si>
    <t xml:space="preserve">Y real</t>
  </si>
  <si>
    <t xml:space="preserve">Estas 12 celdas ámbar (4 patrones × 3 valores) son la única base de datos del ejercicio.</t>
  </si>
  <si>
    <t xml:space="preserve">Patrón 1</t>
  </si>
  <si>
    <t xml:space="preserve">Patrón 2</t>
  </si>
  <si>
    <t xml:space="preserve">Patrón 3</t>
  </si>
  <si>
    <t xml:space="preserve">Patrón 4</t>
  </si>
  <si>
    <t xml:space="preserve">Ideas para experimentar: OR → Y real = 0, 1, 1, 1 · NAND → 1, 1, 1, 0 · NOR → 1, 0, 0, 0. La compuerta XOR (Y = 0, 1, 1, 0) no es separable linealmente: el error nunca llegará a 0.</t>
  </si>
  <si>
    <t xml:space="preserve">3 · ENTRENAMIENTO PASO A PASO — 15 ÉPOCAS × 4 PASOS = 60 FILAS (solo fórmulas encadenadas)</t>
  </si>
  <si>
    <t xml:space="preserve">Época</t>
  </si>
  <si>
    <t xml:space="preserve">Paso</t>
  </si>
  <si>
    <t xml:space="preserve">W1</t>
  </si>
  <si>
    <t xml:space="preserve">W2</t>
  </si>
  <si>
    <t xml:space="preserve">Sesgo (b)</t>
  </si>
  <si>
    <t xml:space="preserve">Suma ponderada (Z)</t>
  </si>
  <si>
    <t xml:space="preserve">Y predicho</t>
  </si>
  <si>
    <t xml:space="preserve">Error</t>
  </si>
  <si>
    <t xml:space="preserve">W1 nuevo</t>
  </si>
  <si>
    <t xml:space="preserve">W2 nuevo</t>
  </si>
  <si>
    <t xml:space="preserve">Sesgo nuevo</t>
  </si>
  <si>
    <t xml:space="preserve">Encadenamiento automático: la primera fila (23) toma W1, W2 y b de los parámetros iniciales (celdas E7, E8 y E9). Cada fila siguiente toma como pesos actuales los valores «nuevos» de la fila anterior: la fila 24 usa =M23, =N23 y =O23, y así hasta la fila 82. Ningún peso se escribe a mano: todo el aprendizaje viaja por fórmulas. Obsérvese que cuando Z vale exactamente 0 la predicción es 1, como dicta la regla del escalón Z ≥ 0 (p. ej., filas 33, 37 y 42).</t>
  </si>
  <si>
    <t xml:space="preserve">4 · RESULTADOS DEL ENTRENAMIENTO</t>
  </si>
  <si>
    <t xml:space="preserve">W1 final</t>
  </si>
  <si>
    <t xml:space="preserve">Último valor de «W1 nuevo» calculado en la tabla de entrenamiento.</t>
  </si>
  <si>
    <t xml:space="preserve">W2 final</t>
  </si>
  <si>
    <t xml:space="preserve">Último valor de «W2 nuevo» de la tabla de entrenamiento.</t>
  </si>
  <si>
    <t xml:space="preserve">Sesgo final (b)</t>
  </si>
  <si>
    <t xml:space="preserve">Último valor de «Sesgo nuevo» de la tabla de entrenamiento.</t>
  </si>
  <si>
    <t xml:space="preserve">Valor de α empleado durante todo el entrenamiento.</t>
  </si>
  <si>
    <t xml:space="preserve">Pasos de entrenamiento</t>
  </si>
  <si>
    <t xml:space="preserve">Total de filas de la tabla de entrenamiento (CONTAR sobre la columna Paso).</t>
  </si>
  <si>
    <t xml:space="preserve">Épocas completadas</t>
  </si>
  <si>
    <t xml:space="preserve">Número de la última época recorrida (MAX sobre la columna Época).</t>
  </si>
  <si>
    <t xml:space="preserve">Número de aciertos</t>
  </si>
  <si>
    <t xml:space="preserve">Predicciones finales iguales a Y real (tabla de la sección 5).</t>
  </si>
  <si>
    <t xml:space="preserve">Número de errores</t>
  </si>
  <si>
    <t xml:space="preserve">Predicciones finales distintas de Y real (tabla de la sección 5).</t>
  </si>
  <si>
    <t xml:space="preserve">Porcentaje de aciertos</t>
  </si>
  <si>
    <t xml:space="preserve">Aciertos dividido por el número de patrones evaluados.</t>
  </si>
  <si>
    <t xml:space="preserve">Errores en la última época</t>
  </si>
  <si>
    <t xml:space="preserve">Errores del último recorrido completo; si es 0, el entrenamiento se estabilizó (convergencia).</t>
  </si>
  <si>
    <t xml:space="preserve">Estado final</t>
  </si>
  <si>
    <t xml:space="preserve">Es «SÍ» cuando el número de errores (celda E93) es 0.</t>
  </si>
  <si>
    <t xml:space="preserve">5 · PREDICCIONES FINALES CON LOS PESOS ENTRENADOS</t>
  </si>
  <si>
    <t xml:space="preserve">Z final</t>
  </si>
  <si>
    <t xml:space="preserve">¿Correcto?</t>
  </si>
  <si>
    <t xml:space="preserve">Z final = X1×W1 final + X2×W2 final + b final · Y predicho = SI(Z final ≥ 0; 1; 0).</t>
  </si>
  <si>
    <t xml:space="preserve">Patrón 1 (fila 15) con los pesos finales.</t>
  </si>
  <si>
    <t xml:space="preserve">Patrón 2 (fila 16) con los pesos finales.</t>
  </si>
  <si>
    <t xml:space="preserve">Patrón 3 (fila 17) con los pesos finales.</t>
  </si>
  <si>
    <t xml:space="preserve">Patrón 4 (fila 18) con los pesos finales.</t>
  </si>
  <si>
    <t xml:space="preserve">6 · VALIDACIÓN FRENTE A LA TABLA ESPERADA DE LA COMPUERTA AND</t>
  </si>
  <si>
    <t xml:space="preserve">Predicción esperada (AND)</t>
  </si>
  <si>
    <t xml:space="preserve">Predicción obtenida</t>
  </si>
  <si>
    <t xml:space="preserve">¿Coincide?</t>
  </si>
  <si>
    <t xml:space="preserve">AND(0,0) = 0 — el perceptrón entrenado debe predecir 0.</t>
  </si>
  <si>
    <t xml:space="preserve">AND(0,1) = 0 — el perceptrón entrenado debe predecir 0.</t>
  </si>
  <si>
    <t xml:space="preserve">AND(1,0) = 0 — el perceptrón entrenado debe predecir 0.</t>
  </si>
  <si>
    <t xml:space="preserve">AND(1,1) = 1 — el perceptrón entrenado debe predecir 1.</t>
  </si>
  <si>
    <t xml:space="preserve">7 · SUGERENCIAS PARA EXPERIMENTAR</t>
  </si>
  <si>
    <t xml:space="preserve">1) Cambie la tasa de aprendizaje (celda E10) a 0,5 o a 0,05 y observe la columna Error: con α grande las correcciones son bruscas y puede tardar más en estabilizarse; con α pequeño el aprendizaje es más lento pero más fino.</t>
  </si>
  <si>
    <t xml:space="preserve">2) Cambie los pesos iniciales (E7:E9) a valores distintos de 0 (por ejemplo 0,30, -0,20 y 0,10): el entrenamiento parte de otra recta de decisión y llega a otra combinación final equivalente.</t>
  </si>
  <si>
    <t xml:space="preserve">3) Cambie Y real (F15:F18) a 0, 1, 1, 1 (compuerta OR) o a 1, 1, 1, 0 (NAND) y compruebe que también converge; con 0, 1, 1, 0 (XOR) el error nunca desaparece, porque XOR no es separable linealmente.</t>
  </si>
  <si>
    <t xml:space="preserve">Este archivo no contiene macros, VBA, complementos ni conexiones externas: el 100 % de los cálculos son fórmulas nativas de Excel (SI, INDICE, CONTAR, MAX, SUMAPRODUCTO...) que puede seleccionar y revisar. Excel las muestra en el idioma de su equipo aunque internamente se almacenan de forma estándar.</t>
  </si>
  <si>
    <t xml:space="preserve">Explicación teórica: el perceptrón simple</t>
  </si>
  <si>
    <t xml:space="preserve">Material de apoyo del ejercicio «Perceptrón Simple en Microsoft Excel» · Todo el cálculo vive en la hoja «Perceptrón», únicamente con fórmulas</t>
  </si>
  <si>
    <t xml:space="preserve">¿QUÉ ES UN PERCEPTRÓN?</t>
  </si>
  <si>
    <t xml:space="preserve">El perceptrón, propuesto por Frank Rosenblatt en 1958, es uno de los modelos más antiguos y sencillos del aprendizaje automático. Es una «neurona artificial» que resuelve problemas de clasificación binaria: recibe valores de entrada y decide a cuál de dos clases (0 o 1) pertenece cada caso. Aunque hoy resulta muy simple, fue el germen de las redes neuronales modernas: la idea de ajustar pesos a partir de los propios errores sigue siendo el corazón del aprendizaje profundo.</t>
  </si>
  <si>
    <t xml:space="preserve">El perceptrón aprende a partir de ejemplos. En cada paso compara su predicción con la respuesta correcta (Y real) y, si se equivoca, corrige ligeramente sus pesos y su sesgo con la regla de aprendizaje. Repitiendo ese ciclo durante varias pasadas completas por los datos (las «épocas»), los pesos terminan clasificando bien todos los ejemplos, siempre que el problema sea separable linealmente. Este archivo reproduce íntegramente ese proceso con fórmulas de Excel.</t>
  </si>
  <si>
    <t xml:space="preserve">LAS VARIABLES DEL MODELO</t>
  </si>
  <si>
    <t xml:space="preserve">La tabla siguiente resume las diez variables que aparecen en la hoja «Perceptrón» y el papel que desempeña cada una. Juntas describen por completo el estado del modelo y su aprendizaje; localizarlas en el archivo es el primer paso para entender el ejercicio.</t>
  </si>
  <si>
    <t xml:space="preserve">Variable</t>
  </si>
  <si>
    <t xml:space="preserve">Significado</t>
  </si>
  <si>
    <t xml:space="preserve">Primera entrada o característica de cada patrón. En la compuerta AND es la primera entrada lógica (0 o 1); se configura en la columna D de la tabla de datos.</t>
  </si>
  <si>
    <t xml:space="preserve">Segunda entrada o característica de cada patrón; se configura en la columna E de la tabla de datos.</t>
  </si>
  <si>
    <t xml:space="preserve">Peso sináptico de X1: cuánto influye la primera entrada en la decisión. Empieza en el valor inicial y el entrenamiento lo ajusta paso a paso.</t>
  </si>
  <si>
    <t xml:space="preserve">Peso sináptico de X2: cuánto influye la segunda entrada. Se ajusta con la misma regla que W1.</t>
  </si>
  <si>
    <t xml:space="preserve">b</t>
  </si>
  <si>
    <t xml:space="preserve">Sesgo o bias: término independiente que se suma a la entrada ponderada. Desplaza la frontera de decisión y permite, por ejemplo, que (1,1) dé 1 aunque las entradas sean pequeñas.</t>
  </si>
  <si>
    <t xml:space="preserve">α</t>
  </si>
  <si>
    <t xml:space="preserve">Tasa de aprendizaje: número pequeño (aquí 0,1) que escala cada corrección. Controla la velocidad y la estabilidad del aprendizaje.</t>
  </si>
  <si>
    <t xml:space="preserve">Z</t>
  </si>
  <si>
    <t xml:space="preserve">Suma ponderada: Z = X1×W1 + X2×W2 + b. Agrega la «evidencia» de todas las entradas antes de decidir.</t>
  </si>
  <si>
    <t xml:space="preserve">Salida correcta (etiqueta) de cada patrón: es lo que el modelo debe aprender a predecir.</t>
  </si>
  <si>
    <t xml:space="preserve">Salida del perceptrón tras aplicar la función escalón a Z: 1 si Z ≥ 0 y 0 si Z &lt; 0.</t>
  </si>
  <si>
    <t xml:space="preserve">Diferencia Y real − Y predicho. Solo puede valer -1, 0 o 1, y es la señal que dirige la corrección de los pesos.</t>
  </si>
  <si>
    <t xml:space="preserve">¿CÓMO FUNCIONA? EL PROCESO PASO A PASO</t>
  </si>
  <si>
    <t xml:space="preserve">El perceptrón procesa un patrón a la vez y aprende de cada error. El ciclo completo, que en la hoja «Perceptrón» ocupa una fila de la tabla de entrenamiento, es el siguiente:</t>
  </si>
  <si>
    <t xml:space="preserve">ENTRADAS (X1, X2) → SUMA PONDERADA (Z = X1·W1 + X2·W2 + b) → FUNCIÓN ESCALÓN (SI Z ≥ 0 → 1; SI Z &lt; 0 → 0) → PREDICCIÓN → ERROR (Y real − Y predicho) → ACTUALIZACIÓN DE PESOS</t>
  </si>
  <si>
    <t xml:space="preserve">1 · Suma ponderada. Se multiplican las entradas por sus pesos, se suma el sesgo y se obtiene Z = X1×W1 + X2×W2 + b. Es la columna «Suma ponderada (Z)» de la tabla de entrenamiento; por ejemplo, la celda J23 contiene =D23*G23+E23*H23+I23.</t>
  </si>
  <si>
    <t xml:space="preserve">2 · Función de activación escalón. El número Z se convierte en una salida binaria: 1 si Z ≥ 0 y 0 si Z &lt; 0. En Excel se escribe =SI(Z&gt;=0;1;0) y corresponde a la columna «Y predicho» (celda K23: =SI(J23&gt;=0;1;0)). Que el corte esté en 0 es lo que fija la frontera de decisión.</t>
  </si>
  <si>
    <t xml:space="preserve">3 · Cálculo del error. Se compara la predicción con la etiqueta real: Error = Y real − Y predicho (celda L23: =F23-K23). Si vale 0, el patrón ya está bien clasificado y no hay nada que corregir; si vale 1, el modelo predijo 0 cuando debía 1; si vale -1, predijo 1 cuando debía 0.</t>
  </si>
  <si>
    <t xml:space="preserve">4 · Actualización de los pesos. Con la regla del perceptrón (siguiente sección) se recalculan W1, W2 y b, y esos valores «nuevos» pasan a la fila siguiente como pesos actuales. Así el conocimiento acumulado viaja de fila en fila sin escribir un solo valor a mano.</t>
  </si>
  <si>
    <t xml:space="preserve">LA REGLA DE APRENDIZAJE DEL PERCEPTRÓN</t>
  </si>
  <si>
    <t xml:space="preserve">Cuando el perceptrón se equivoca, ajusta sus pesos en la dirección que corrige el error. La corrección de cada peso es proporcional a la tasa de aprendizaje α, al error cometido y al valor de la entrada correspondiente: si una entrada vale 0, su peso no se altera en ese paso, por muy grande que sea el error.</t>
  </si>
  <si>
    <t xml:space="preserve">W1 nuevo = W1 + α × Error × X1</t>
  </si>
  <si>
    <t xml:space="preserve">W2 nuevo = W2 + α × Error × X2</t>
  </si>
  <si>
    <t xml:space="preserve">b nuevo  = b + α × Error</t>
  </si>
  <si>
    <t xml:space="preserve">Interpretación: con Error = 0 nada cambia (acierto); con Error = 1 los pesos de las entradas activas aumentan; con Error = -1 disminuyen. En la tabla de entrenamiento, las celdas M23, N23 y O23 aplican estas tres ecuaciones — por ejemplo, M23 contiene =G23+$E$10*L23*D23 — y la fila siguiente las reutiliza: la celda G24 contiene simplemente =M23. Ese encadenamiento es lo que convierte 60 filas sueltas en un entrenamiento completo.</t>
  </si>
  <si>
    <t xml:space="preserve">¿POR QUÉ LA COMPUERTA AND SÍ SE PUEDE APRENDER?</t>
  </si>
  <si>
    <t xml:space="preserve">La compuerta AND es un problema linealmente separable: al dibujar los cuatro patrones en el plano (X1, X2), los tres con salida 0 — (0,0), (0,1) y (1,0) — quedan a un lado de una recta y el patrón (1,1), con salida 1, al otro. El perceptrón simple aprende exactamente los problemas con esa propiedad: los que una única recta puede separar.</t>
  </si>
  <si>
    <t xml:space="preserve">Cada terna de pesos define la recta de decisión W1·X1 + W2·X2 + b = 0. Con los parámetros iniciales de este archivo, el entrenamiento termina en W1 = 0,20, W2 = 0,10 y b = -0,30: la recta 0,20·X1 + 0,10·X2 - 0,30 = 0, que clasifica correctamente los cuatro puntos. Los tres patrones con salida 0 quedan en el lado negativo (Z = -0,30, -0,20 y -0,10) y el patrón (1,1) cae exactamente sobre la recta, con Z = 0: la regla del escalón Z ≥ 0 lo clasifica como 1, que es precisamente su salida correcta. El empate sobre la frontera se resuelve, por diseño, a favor de la clase 1.</t>
  </si>
  <si>
    <t xml:space="preserve">El teorema de convergencia del perceptrón garantiza que, si los datos son separables linealmente y α &gt; 0, esta regla de aprendizaje clasifica bien todos los ejemplos en un número finito de pasos. En este ejercicio la convergencia llega en la época 6: desde esa fila todos los errores valen 0 y los pesos dejan de moverse, como muestran las épocas restantes de la tabla (la sección 4 lo confirma con «Errores en la última época» igual a 0).</t>
  </si>
  <si>
    <t xml:space="preserve">La contrapartida es ilustrativa: la compuerta XOR (Y = 0, 1, 1, 0) no es separable linealmente, porque sus dos clases no caben a lados opuestos de una sola recta. Ningún perceptrón simple puede aprenderla; si cambia Y real a esos valores, verá que el número de errores nunca llega a 0. Esa limitación, señalada por Minsky y Papert en 1969, impulsó la búsqueda de modelos multicapa.</t>
  </si>
  <si>
    <t xml:space="preserve">CÓMO USAR Y EXPERIMENTAR CON ESTE ARCHIVO</t>
  </si>
  <si>
    <t xml:space="preserve">Trabaje en la hoja «Perceptrón». Solo tiene que ocuparse de las celdas ámbar: los cuatro parámetros iniciales (E7:E10) y la tabla de datos X1, X2 y Y real (D15:F18). Todo lo demás — entrenamiento, resultados, predicciones y validación — se recalcula al instante en cuanto pulsa Enter.</t>
  </si>
  <si>
    <t xml:space="preserve">Sección de la hoja «Perceptrón»</t>
  </si>
  <si>
    <t xml:space="preserve">Filas</t>
  </si>
  <si>
    <t xml:space="preserve">Contenido</t>
  </si>
  <si>
    <t xml:space="preserve">1 · Parámetros iniciales</t>
  </si>
  <si>
    <t xml:space="preserve">6 a 11</t>
  </si>
  <si>
    <t xml:space="preserve">W1, W2, b y α (celdas ámbar editables)</t>
  </si>
  <si>
    <t xml:space="preserve">2 · Datos AND</t>
  </si>
  <si>
    <t xml:space="preserve">13 a 19</t>
  </si>
  <si>
    <t xml:space="preserve">patrones X1, X2 y Y real (celdas ámbar editables)</t>
  </si>
  <si>
    <t xml:space="preserve">3 · Entrenamiento</t>
  </si>
  <si>
    <t xml:space="preserve">21 a 83</t>
  </si>
  <si>
    <t xml:space="preserve">60 pasos encadenados con fórmulas</t>
  </si>
  <si>
    <t xml:space="preserve">4 · Resultados</t>
  </si>
  <si>
    <t xml:space="preserve">85 a 96</t>
  </si>
  <si>
    <t xml:space="preserve">resumen del entrenamiento y estado final</t>
  </si>
  <si>
    <t xml:space="preserve">5 · Predicciones</t>
  </si>
  <si>
    <t xml:space="preserve">98 a 103</t>
  </si>
  <si>
    <t xml:space="preserve">los 4 patrones evaluados con los pesos finales</t>
  </si>
  <si>
    <t xml:space="preserve">6 · Validación</t>
  </si>
  <si>
    <t xml:space="preserve">105 a 111</t>
  </si>
  <si>
    <t xml:space="preserve">comprobación contra la tabla esperada de AND</t>
  </si>
  <si>
    <t xml:space="preserve">7 · Sugerencias</t>
  </si>
  <si>
    <t xml:space="preserve">113 a 117</t>
  </si>
  <si>
    <t xml:space="preserve">experimentos propuestos</t>
  </si>
  <si>
    <t xml:space="preserve">Consejos de observación: (1) recorra la columna Error de la tabla de entrenamiento y verá cómo los errores se extinguen época a época hasta desaparecer; (2) compare en una misma fila las columnas W1 y W1 nuevo: cuando el error es 0, ambas coinciden; (3) tras cualquier cambio, la sección de validación le dice de inmediato si el modelo sigue implementando la compuerta AND.</t>
  </si>
  <si>
    <t xml:space="preserve">Material académico de Inteligencia Artificial · Archivo sin macros, sin VBA y sin conexiones externas: 100 % fórmulas nativas de Excel.</t>
  </si>
</sst>
</file>

<file path=xl/styles.xml><?xml version="1.0" encoding="utf-8"?>
<styleSheet xmlns="http://schemas.openxmlformats.org/spreadsheetml/2006/main">
  <numFmts count="4">
    <numFmt numFmtId="164" formatCode="General"/>
    <numFmt numFmtId="165" formatCode="#,##0.00"/>
    <numFmt numFmtId="166" formatCode="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B2A4A"/>
      <name val="Calibri"/>
      <family val="0"/>
      <charset val="1"/>
    </font>
    <font>
      <i val="true"/>
      <sz val="9"/>
      <color rgb="FF8C8A84"/>
      <name val="Calibri"/>
      <family val="0"/>
      <charset val="1"/>
    </font>
    <font>
      <b val="true"/>
      <sz val="12"/>
      <color rgb="FF1B2A4A"/>
      <name val="Calibri"/>
      <family val="0"/>
      <charset val="1"/>
    </font>
    <font>
      <b val="true"/>
      <sz val="11"/>
      <color rgb="FF37352F"/>
      <name val="Calibri"/>
      <family val="0"/>
      <charset val="1"/>
    </font>
    <font>
      <sz val="11"/>
      <color rgb="FF37352F"/>
      <name val="Calibri"/>
      <family val="0"/>
      <charset val="1"/>
    </font>
    <font>
      <b val="true"/>
      <sz val="11"/>
      <color rgb="FFFFFFFF"/>
      <name val="Calibri"/>
      <family val="0"/>
      <charset val="1"/>
    </font>
    <font>
      <b val="true"/>
      <sz val="11"/>
      <color rgb="FF1B2A4A"/>
      <name val="Calibri"/>
      <family val="0"/>
      <charset val="1"/>
    </font>
    <font>
      <sz val="10"/>
      <color rgb="FF37352F"/>
      <name val="Calibri"/>
      <family val="0"/>
      <charset val="1"/>
    </font>
    <font>
      <sz val="10"/>
      <name val="Arial"/>
      <family val="2"/>
    </font>
  </fonts>
  <fills count="7">
    <fill>
      <patternFill patternType="none"/>
    </fill>
    <fill>
      <patternFill patternType="gray125"/>
    </fill>
    <fill>
      <patternFill patternType="solid">
        <fgColor rgb="FFD6E4F0"/>
        <bgColor rgb="FFE9E9E8"/>
      </patternFill>
    </fill>
    <fill>
      <patternFill patternType="solid">
        <fgColor rgb="FFFFFFFF"/>
        <bgColor rgb="FFF7F7F5"/>
      </patternFill>
    </fill>
    <fill>
      <patternFill patternType="solid">
        <fgColor rgb="FFFEF9E7"/>
        <bgColor rgb="FFF7F7F5"/>
      </patternFill>
    </fill>
    <fill>
      <patternFill patternType="solid">
        <fgColor rgb="FF1B2A4A"/>
        <bgColor rgb="FF37352F"/>
      </patternFill>
    </fill>
    <fill>
      <patternFill patternType="solid">
        <fgColor rgb="FFF7F7F5"/>
        <bgColor rgb="FFFEF9E7"/>
      </patternFill>
    </fill>
  </fills>
  <borders count="3">
    <border diagonalUp="false" diagonalDown="false">
      <left/>
      <right/>
      <top/>
      <bottom/>
      <diagonal/>
    </border>
    <border diagonalUp="false" diagonalDown="false">
      <left style="thin">
        <color rgb="FFE9E9E8"/>
      </left>
      <right style="thin">
        <color rgb="FFE9E9E8"/>
      </right>
      <top style="thin">
        <color rgb="FFE9E9E8"/>
      </top>
      <bottom style="thin">
        <color rgb="FFE9E9E8"/>
      </bottom>
      <diagonal/>
    </border>
    <border diagonalUp="false" diagonalDown="false">
      <left style="thin">
        <color rgb="FFD4820A"/>
      </left>
      <right style="thin">
        <color rgb="FFD4820A"/>
      </right>
      <top style="thin">
        <color rgb="FFD4820A"/>
      </top>
      <bottom style="thin">
        <color rgb="FFD4820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left" vertical="center" textRotation="0" wrapText="true" indent="1" shrinkToFit="false"/>
      <protection locked="true" hidden="false"/>
    </xf>
    <xf numFmtId="164" fontId="6" fillId="2" borderId="0" xfId="0" applyFont="true" applyBorder="true" applyAlignment="true" applyProtection="true">
      <alignment horizontal="left" vertical="center" textRotation="0" wrapText="false" indent="1" shrinkToFit="false"/>
      <protection locked="true" hidden="false"/>
    </xf>
    <xf numFmtId="164" fontId="7" fillId="3" borderId="1" xfId="0" applyFont="true" applyBorder="true" applyAlignment="true" applyProtection="true">
      <alignment horizontal="left" vertical="center" textRotation="0" wrapText="false" indent="1" shrinkToFit="false"/>
      <protection locked="true" hidden="false"/>
    </xf>
    <xf numFmtId="165" fontId="8" fillId="4" borderId="2" xfId="0" applyFont="true" applyBorder="true" applyAlignment="true" applyProtection="true">
      <alignment horizontal="right" vertical="center" textRotation="0" wrapText="fals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left" vertical="center" textRotation="0" wrapText="false" indent="1" shrinkToFit="false"/>
      <protection locked="true" hidden="false"/>
    </xf>
    <xf numFmtId="166" fontId="8" fillId="4" borderId="2" xfId="0" applyFont="true" applyBorder="true" applyAlignment="true" applyProtection="true">
      <alignment horizontal="right" vertical="center" textRotation="0" wrapText="false" indent="0" shrinkToFit="false"/>
      <protection locked="true" hidden="false"/>
    </xf>
    <xf numFmtId="166" fontId="8" fillId="3" borderId="1" xfId="0" applyFont="true" applyBorder="true" applyAlignment="true" applyProtection="true">
      <alignment horizontal="right" vertical="center" textRotation="0" wrapText="false" indent="0" shrinkToFit="false"/>
      <protection locked="true" hidden="false"/>
    </xf>
    <xf numFmtId="165" fontId="8" fillId="3" borderId="1" xfId="0" applyFont="true" applyBorder="true" applyAlignment="true" applyProtection="true">
      <alignment horizontal="right" vertical="center" textRotation="0" wrapText="false" indent="0" shrinkToFit="false"/>
      <protection locked="true" hidden="false"/>
    </xf>
    <xf numFmtId="166" fontId="8" fillId="6" borderId="1" xfId="0" applyFont="true" applyBorder="true" applyAlignment="true" applyProtection="true">
      <alignment horizontal="right" vertical="center" textRotation="0" wrapText="false" indent="0" shrinkToFit="false"/>
      <protection locked="true" hidden="false"/>
    </xf>
    <xf numFmtId="165" fontId="8" fillId="6" borderId="1" xfId="0" applyFont="true" applyBorder="true" applyAlignment="true" applyProtection="true">
      <alignment horizontal="right" vertical="center" textRotation="0" wrapText="false" indent="0" shrinkToFit="false"/>
      <protection locked="true" hidden="false"/>
    </xf>
    <xf numFmtId="164" fontId="7" fillId="6" borderId="1" xfId="0" applyFont="true" applyBorder="true" applyAlignment="true" applyProtection="true">
      <alignment horizontal="left" vertical="center" textRotation="0" wrapText="false" indent="1" shrinkToFit="false"/>
      <protection locked="true" hidden="false"/>
    </xf>
    <xf numFmtId="165" fontId="10" fillId="3" borderId="1" xfId="0" applyFont="true" applyBorder="true" applyAlignment="true" applyProtection="true">
      <alignment horizontal="right" vertical="center" textRotation="0" wrapText="false" indent="0" shrinkToFit="false"/>
      <protection locked="true" hidden="false"/>
    </xf>
    <xf numFmtId="166" fontId="10" fillId="3" borderId="1" xfId="0" applyFont="true" applyBorder="true" applyAlignment="true" applyProtection="true">
      <alignment horizontal="right" vertical="center" textRotation="0" wrapText="false" indent="0" shrinkToFit="false"/>
      <protection locked="true" hidden="false"/>
    </xf>
    <xf numFmtId="167" fontId="10" fillId="3" borderId="1" xfId="0" applyFont="true" applyBorder="true" applyAlignment="true" applyProtection="true">
      <alignment horizontal="right" vertical="center" textRotation="0" wrapText="fals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8" fillId="0" borderId="0" xfId="0" applyFont="true" applyBorder="true" applyAlignment="true" applyProtection="true">
      <alignment horizontal="left" vertical="top" textRotation="0" wrapText="true" indent="1"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left" vertical="top" textRotation="0" wrapText="true" indent="1" shrinkToFit="false"/>
      <protection locked="true" hidden="false"/>
    </xf>
    <xf numFmtId="164" fontId="7" fillId="6" borderId="1" xfId="0" applyFont="true" applyBorder="true" applyAlignment="true" applyProtection="true">
      <alignment horizontal="center" vertical="center" textRotation="0" wrapText="false" indent="0" shrinkToFit="false"/>
      <protection locked="true" hidden="false"/>
    </xf>
    <xf numFmtId="164" fontId="8" fillId="6" borderId="1" xfId="0" applyFont="true" applyBorder="true" applyAlignment="true" applyProtection="true">
      <alignment horizontal="left" vertical="top" textRotation="0" wrapText="true" indent="1" shrinkToFit="false"/>
      <protection locked="true" hidden="false"/>
    </xf>
    <xf numFmtId="164" fontId="10"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4" fontId="8" fillId="6" borderId="1" xfId="0" applyFont="true" applyBorder="true" applyAlignment="true" applyProtection="true">
      <alignment horizontal="left" vertical="center" textRotation="0" wrapText="false" indent="1" shrinkToFit="false"/>
      <protection locked="true" hidden="false"/>
    </xf>
    <xf numFmtId="164" fontId="8" fillId="6" borderId="1"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392B"/>
      </font>
      <fill>
        <patternFill>
          <bgColor rgb="FFFDEDEC"/>
        </patternFill>
      </fill>
    </dxf>
    <dxf>
      <font>
        <b val="1"/>
        <color rgb="FF1B7D46"/>
      </font>
      <fill>
        <patternFill>
          <bgColor rgb="FFE8F5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D46"/>
      <rgbColor rgb="FFC0C0C0"/>
      <rgbColor rgb="FF8C8A84"/>
      <rgbColor rgb="FF9999FF"/>
      <rgbColor rgb="FF993366"/>
      <rgbColor rgb="FFFEF9E7"/>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9E9E8"/>
      <rgbColor rgb="FFF7F7F5"/>
      <rgbColor rgb="FFFDEDEC"/>
      <rgbColor rgb="FF99CCFF"/>
      <rgbColor rgb="FFFF99CC"/>
      <rgbColor rgb="FFCC99FF"/>
      <rgbColor rgb="FFFFCC99"/>
      <rgbColor rgb="FF3366FF"/>
      <rgbColor rgb="FF33CCCC"/>
      <rgbColor rgb="FF99CC00"/>
      <rgbColor rgb="FFFFCC00"/>
      <rgbColor rgb="FFD4820A"/>
      <rgbColor rgb="FFFF6600"/>
      <rgbColor rgb="FF666699"/>
      <rgbColor rgb="FF969696"/>
      <rgbColor rgb="FF1B2A4A"/>
      <rgbColor rgb="FF339966"/>
      <rgbColor rgb="FF003300"/>
      <rgbColor rgb="FF333300"/>
      <rgbColor rgb="FFC0392B"/>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B2:O117"/>
  <sheetViews>
    <sheetView showFormulas="false" showGridLines="false" showRowColHeaders="true" showZeros="true" rightToLeft="false" tabSelected="true" showOutlineSymbols="true" defaultGridColor="true" view="normal" topLeftCell="A23" colorId="64" zoomScale="100" zoomScaleNormal="100" zoomScalePageLayoutView="100" workbookViewId="0">
      <pane xSplit="1" ySplit="0" topLeftCell="B23" activePane="topRight" state="frozen"/>
      <selection pane="topLeft" activeCell="A23" activeCellId="0" sqref="A23"/>
      <selection pane="top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9"/>
    <col collapsed="false" customWidth="true" hidden="false" outlineLevel="0" max="3" min="3" style="1" width="8"/>
    <col collapsed="false" customWidth="true" hidden="false" outlineLevel="0" max="4" min="4" style="1" width="9"/>
    <col collapsed="false" customWidth="true" hidden="false" outlineLevel="0" max="5" min="5" style="1" width="8"/>
    <col collapsed="false" customWidth="true" hidden="false" outlineLevel="0" max="8" min="6" style="1" width="10"/>
    <col collapsed="false" customWidth="true" hidden="false" outlineLevel="0" max="9" min="9" style="1" width="11"/>
    <col collapsed="false" customWidth="true" hidden="false" outlineLevel="0" max="10" min="10" style="1" width="13"/>
    <col collapsed="false" customWidth="true" hidden="false" outlineLevel="0" max="11" min="11" style="1" width="11"/>
    <col collapsed="false" customWidth="true" hidden="false" outlineLevel="0" max="12" min="12" style="1" width="8"/>
    <col collapsed="false" customWidth="true" hidden="false" outlineLevel="0" max="14" min="13" style="1" width="11"/>
    <col collapsed="false" customWidth="true" hidden="false" outlineLevel="0" max="15" min="15" style="1" width="12"/>
  </cols>
  <sheetData>
    <row r="2" customFormat="false" ht="31.5" hidden="false" customHeight="true" outlineLevel="0" collapsed="false">
      <c r="B2" s="2" t="s">
        <v>0</v>
      </c>
      <c r="C2" s="2"/>
      <c r="D2" s="2"/>
      <c r="E2" s="2"/>
      <c r="F2" s="2"/>
      <c r="G2" s="2"/>
      <c r="H2" s="2"/>
      <c r="I2" s="2"/>
      <c r="J2" s="2"/>
      <c r="K2" s="2"/>
      <c r="L2" s="2"/>
      <c r="M2" s="2"/>
      <c r="N2" s="2"/>
      <c r="O2" s="2"/>
    </row>
    <row r="3" customFormat="false" ht="27.75" hidden="false" customHeight="true" outlineLevel="0" collapsed="false">
      <c r="B3" s="3" t="s">
        <v>1</v>
      </c>
      <c r="C3" s="3"/>
      <c r="D3" s="3"/>
      <c r="E3" s="3"/>
      <c r="F3" s="3"/>
      <c r="G3" s="3"/>
      <c r="H3" s="3"/>
      <c r="I3" s="3"/>
      <c r="J3" s="3"/>
      <c r="K3" s="3"/>
      <c r="L3" s="3"/>
      <c r="M3" s="3"/>
      <c r="N3" s="3"/>
      <c r="O3" s="3"/>
    </row>
    <row r="4" customFormat="false" ht="27.75" hidden="false" customHeight="true" outlineLevel="0" collapsed="false">
      <c r="B4" s="3" t="s">
        <v>2</v>
      </c>
      <c r="C4" s="3"/>
      <c r="D4" s="3"/>
      <c r="E4" s="3"/>
      <c r="F4" s="3"/>
      <c r="G4" s="3"/>
      <c r="H4" s="3"/>
      <c r="I4" s="3"/>
      <c r="J4" s="3"/>
      <c r="K4" s="3"/>
      <c r="L4" s="3"/>
      <c r="M4" s="3"/>
      <c r="N4" s="3"/>
      <c r="O4" s="3"/>
    </row>
    <row r="6" customFormat="false" ht="21.75" hidden="false" customHeight="true" outlineLevel="0" collapsed="false">
      <c r="B6" s="4" t="s">
        <v>3</v>
      </c>
      <c r="C6" s="4"/>
      <c r="D6" s="4"/>
      <c r="E6" s="4"/>
      <c r="F6" s="4"/>
      <c r="G6" s="4"/>
      <c r="H6" s="4"/>
      <c r="I6" s="4"/>
      <c r="J6" s="4"/>
      <c r="K6" s="4"/>
      <c r="L6" s="4"/>
      <c r="M6" s="4"/>
      <c r="N6" s="4"/>
      <c r="O6" s="4"/>
    </row>
    <row r="7" customFormat="false" ht="30" hidden="false" customHeight="true" outlineLevel="0" collapsed="false">
      <c r="B7" s="5" t="s">
        <v>4</v>
      </c>
      <c r="C7" s="5"/>
      <c r="D7" s="5"/>
      <c r="E7" s="6" t="n">
        <v>0</v>
      </c>
      <c r="F7" s="3" t="s">
        <v>5</v>
      </c>
      <c r="G7" s="3"/>
      <c r="H7" s="3"/>
      <c r="I7" s="3"/>
      <c r="J7" s="3"/>
      <c r="K7" s="3"/>
      <c r="L7" s="3"/>
      <c r="M7" s="3"/>
      <c r="N7" s="3"/>
      <c r="O7" s="3"/>
    </row>
    <row r="8" customFormat="false" ht="30" hidden="false" customHeight="true" outlineLevel="0" collapsed="false">
      <c r="B8" s="5" t="s">
        <v>6</v>
      </c>
      <c r="C8" s="5"/>
      <c r="D8" s="5"/>
      <c r="E8" s="6" t="n">
        <v>0</v>
      </c>
      <c r="F8" s="3" t="s">
        <v>7</v>
      </c>
      <c r="G8" s="3"/>
      <c r="H8" s="3"/>
      <c r="I8" s="3"/>
      <c r="J8" s="3"/>
      <c r="K8" s="3"/>
      <c r="L8" s="3"/>
      <c r="M8" s="3"/>
      <c r="N8" s="3"/>
      <c r="O8" s="3"/>
    </row>
    <row r="9" customFormat="false" ht="19.5" hidden="false" customHeight="true" outlineLevel="0" collapsed="false">
      <c r="B9" s="5" t="s">
        <v>8</v>
      </c>
      <c r="C9" s="5"/>
      <c r="D9" s="5"/>
      <c r="E9" s="6" t="n">
        <v>0</v>
      </c>
      <c r="F9" s="3" t="s">
        <v>9</v>
      </c>
      <c r="G9" s="3"/>
      <c r="H9" s="3"/>
      <c r="I9" s="3"/>
      <c r="J9" s="3"/>
      <c r="K9" s="3"/>
      <c r="L9" s="3"/>
      <c r="M9" s="3"/>
      <c r="N9" s="3"/>
      <c r="O9" s="3"/>
    </row>
    <row r="10" customFormat="false" ht="30" hidden="false" customHeight="true" outlineLevel="0" collapsed="false">
      <c r="B10" s="5" t="s">
        <v>10</v>
      </c>
      <c r="C10" s="5"/>
      <c r="D10" s="5"/>
      <c r="E10" s="6" t="n">
        <v>0.1</v>
      </c>
      <c r="F10" s="3" t="s">
        <v>11</v>
      </c>
      <c r="G10" s="3"/>
      <c r="H10" s="3"/>
      <c r="I10" s="3"/>
      <c r="J10" s="3"/>
      <c r="K10" s="3"/>
      <c r="L10" s="3"/>
      <c r="M10" s="3"/>
      <c r="N10" s="3"/>
      <c r="O10" s="3"/>
    </row>
    <row r="11" customFormat="false" ht="27.75" hidden="false" customHeight="true" outlineLevel="0" collapsed="false">
      <c r="B11" s="3" t="s">
        <v>12</v>
      </c>
      <c r="C11" s="3"/>
      <c r="D11" s="3"/>
      <c r="E11" s="3"/>
      <c r="F11" s="3"/>
      <c r="G11" s="3"/>
      <c r="H11" s="3"/>
      <c r="I11" s="3"/>
      <c r="J11" s="3"/>
      <c r="K11" s="3"/>
      <c r="L11" s="3"/>
      <c r="M11" s="3"/>
      <c r="N11" s="3"/>
      <c r="O11" s="3"/>
    </row>
    <row r="13" customFormat="false" ht="21.75" hidden="false" customHeight="true" outlineLevel="0" collapsed="false">
      <c r="B13" s="4" t="s">
        <v>13</v>
      </c>
      <c r="C13" s="4"/>
      <c r="D13" s="4"/>
      <c r="E13" s="4"/>
      <c r="F13" s="4"/>
      <c r="G13" s="4"/>
      <c r="H13" s="4"/>
      <c r="I13" s="4"/>
      <c r="J13" s="4"/>
      <c r="K13" s="4"/>
      <c r="L13" s="4"/>
      <c r="M13" s="4"/>
      <c r="N13" s="4"/>
      <c r="O13" s="4"/>
    </row>
    <row r="14" customFormat="false" ht="30" hidden="false" customHeight="true" outlineLevel="0" collapsed="false">
      <c r="B14" s="7" t="s">
        <v>14</v>
      </c>
      <c r="C14" s="7"/>
      <c r="D14" s="7" t="s">
        <v>15</v>
      </c>
      <c r="E14" s="7" t="s">
        <v>16</v>
      </c>
      <c r="F14" s="7" t="s">
        <v>17</v>
      </c>
      <c r="G14" s="3" t="s">
        <v>18</v>
      </c>
      <c r="H14" s="3"/>
      <c r="I14" s="3"/>
      <c r="J14" s="3"/>
      <c r="K14" s="3"/>
      <c r="L14" s="3"/>
      <c r="M14" s="3"/>
      <c r="N14" s="3"/>
      <c r="O14" s="3"/>
    </row>
    <row r="15" customFormat="false" ht="19.5" hidden="false" customHeight="true" outlineLevel="0" collapsed="false">
      <c r="B15" s="8" t="s">
        <v>19</v>
      </c>
      <c r="C15" s="8"/>
      <c r="D15" s="9" t="n">
        <v>0</v>
      </c>
      <c r="E15" s="9" t="n">
        <v>0</v>
      </c>
      <c r="F15" s="9" t="n">
        <v>0</v>
      </c>
    </row>
    <row r="16" customFormat="false" ht="19.5" hidden="false" customHeight="true" outlineLevel="0" collapsed="false">
      <c r="B16" s="8" t="s">
        <v>20</v>
      </c>
      <c r="C16" s="8"/>
      <c r="D16" s="9" t="n">
        <v>0</v>
      </c>
      <c r="E16" s="9" t="n">
        <v>1</v>
      </c>
      <c r="F16" s="9" t="n">
        <v>0</v>
      </c>
    </row>
    <row r="17" customFormat="false" ht="19.5" hidden="false" customHeight="true" outlineLevel="0" collapsed="false">
      <c r="B17" s="8" t="s">
        <v>21</v>
      </c>
      <c r="C17" s="8"/>
      <c r="D17" s="9" t="n">
        <v>1</v>
      </c>
      <c r="E17" s="9" t="n">
        <v>0</v>
      </c>
      <c r="F17" s="9" t="n">
        <v>0</v>
      </c>
    </row>
    <row r="18" customFormat="false" ht="19.5" hidden="false" customHeight="true" outlineLevel="0" collapsed="false">
      <c r="B18" s="8" t="s">
        <v>22</v>
      </c>
      <c r="C18" s="8"/>
      <c r="D18" s="9" t="n">
        <v>1</v>
      </c>
      <c r="E18" s="9" t="n">
        <v>1</v>
      </c>
      <c r="F18" s="9" t="n">
        <v>1</v>
      </c>
    </row>
    <row r="19" customFormat="false" ht="27.75" hidden="false" customHeight="true" outlineLevel="0" collapsed="false">
      <c r="B19" s="3" t="s">
        <v>23</v>
      </c>
      <c r="C19" s="3"/>
      <c r="D19" s="3"/>
      <c r="E19" s="3"/>
      <c r="F19" s="3"/>
      <c r="G19" s="3"/>
      <c r="H19" s="3"/>
      <c r="I19" s="3"/>
      <c r="J19" s="3"/>
      <c r="K19" s="3"/>
      <c r="L19" s="3"/>
      <c r="M19" s="3"/>
      <c r="N19" s="3"/>
      <c r="O19" s="3"/>
    </row>
    <row r="21" customFormat="false" ht="21.75" hidden="false" customHeight="true" outlineLevel="0" collapsed="false">
      <c r="B21" s="4" t="s">
        <v>24</v>
      </c>
      <c r="C21" s="4"/>
      <c r="D21" s="4"/>
      <c r="E21" s="4"/>
      <c r="F21" s="4"/>
      <c r="G21" s="4"/>
      <c r="H21" s="4"/>
      <c r="I21" s="4"/>
      <c r="J21" s="4"/>
      <c r="K21" s="4"/>
      <c r="L21" s="4"/>
      <c r="M21" s="4"/>
      <c r="N21" s="4"/>
      <c r="O21" s="4"/>
    </row>
    <row r="22" customFormat="false" ht="33.75" hidden="false" customHeight="true" outlineLevel="0" collapsed="false">
      <c r="B22" s="7" t="s">
        <v>25</v>
      </c>
      <c r="C22" s="7" t="s">
        <v>26</v>
      </c>
      <c r="D22" s="7" t="s">
        <v>15</v>
      </c>
      <c r="E22" s="7" t="s">
        <v>16</v>
      </c>
      <c r="F22" s="7" t="s">
        <v>17</v>
      </c>
      <c r="G22" s="7" t="s">
        <v>27</v>
      </c>
      <c r="H22" s="7" t="s">
        <v>28</v>
      </c>
      <c r="I22" s="7" t="s">
        <v>29</v>
      </c>
      <c r="J22" s="7" t="s">
        <v>30</v>
      </c>
      <c r="K22" s="7" t="s">
        <v>31</v>
      </c>
      <c r="L22" s="7" t="s">
        <v>32</v>
      </c>
      <c r="M22" s="7" t="s">
        <v>33</v>
      </c>
      <c r="N22" s="7" t="s">
        <v>34</v>
      </c>
      <c r="O22" s="7" t="s">
        <v>35</v>
      </c>
    </row>
    <row r="23" customFormat="false" ht="18" hidden="false" customHeight="true" outlineLevel="0" collapsed="false">
      <c r="B23" s="10" t="n">
        <v>1</v>
      </c>
      <c r="C23" s="10" t="n">
        <v>1</v>
      </c>
      <c r="D23" s="10" t="n">
        <f aca="false">INDEX($D$15:$D$18,C23)</f>
        <v>0</v>
      </c>
      <c r="E23" s="10" t="n">
        <f aca="false">INDEX($E$15:$E$18,C23)</f>
        <v>0</v>
      </c>
      <c r="F23" s="10" t="n">
        <f aca="false">INDEX($F$15:$F$18,C23)</f>
        <v>0</v>
      </c>
      <c r="G23" s="11" t="n">
        <f aca="false">$E$7</f>
        <v>0</v>
      </c>
      <c r="H23" s="11" t="n">
        <f aca="false">$E$8</f>
        <v>0</v>
      </c>
      <c r="I23" s="11" t="n">
        <f aca="false">$E$9</f>
        <v>0</v>
      </c>
      <c r="J23" s="11" t="n">
        <f aca="false">D23*G23+E23*H23+I23</f>
        <v>0</v>
      </c>
      <c r="K23" s="11" t="n">
        <f aca="false">IF(J23&gt;=0,1,0)</f>
        <v>1</v>
      </c>
      <c r="L23" s="10" t="n">
        <f aca="false">F23-K23</f>
        <v>-1</v>
      </c>
      <c r="M23" s="11" t="n">
        <f aca="false">G23+$E$10*L23*D23</f>
        <v>0</v>
      </c>
      <c r="N23" s="11" t="n">
        <f aca="false">H23+$E$10*L23*E23</f>
        <v>0</v>
      </c>
      <c r="O23" s="11" t="n">
        <f aca="false">I23+$E$10*L23</f>
        <v>-0.1</v>
      </c>
    </row>
    <row r="24" customFormat="false" ht="18" hidden="false" customHeight="true" outlineLevel="0" collapsed="false">
      <c r="B24" s="10" t="n">
        <f aca="false">IF(C24=1,B23+1,B23)</f>
        <v>1</v>
      </c>
      <c r="C24" s="10" t="n">
        <f aca="false">IF(C23=4,1,C23+1)</f>
        <v>2</v>
      </c>
      <c r="D24" s="10" t="n">
        <f aca="false">INDEX($D$15:$D$18,C24)</f>
        <v>0</v>
      </c>
      <c r="E24" s="10" t="n">
        <f aca="false">INDEX($E$15:$E$18,C24)</f>
        <v>1</v>
      </c>
      <c r="F24" s="10" t="n">
        <f aca="false">INDEX($F$15:$F$18,C24)</f>
        <v>0</v>
      </c>
      <c r="G24" s="11" t="n">
        <f aca="false">M23</f>
        <v>0</v>
      </c>
      <c r="H24" s="11" t="n">
        <f aca="false">N23</f>
        <v>0</v>
      </c>
      <c r="I24" s="11" t="n">
        <f aca="false">O23</f>
        <v>-0.1</v>
      </c>
      <c r="J24" s="11" t="n">
        <f aca="false">D24*G24+E24*H24+I24</f>
        <v>-0.1</v>
      </c>
      <c r="K24" s="11" t="n">
        <f aca="false">IF(J24&gt;=0,1,0)</f>
        <v>0</v>
      </c>
      <c r="L24" s="10" t="n">
        <f aca="false">F24-K24</f>
        <v>0</v>
      </c>
      <c r="M24" s="11" t="n">
        <f aca="false">G24+$E$10*L24*D24</f>
        <v>0</v>
      </c>
      <c r="N24" s="11" t="n">
        <f aca="false">H24+$E$10*L24*E24</f>
        <v>0</v>
      </c>
      <c r="O24" s="11" t="n">
        <f aca="false">I24+$E$10*L24</f>
        <v>-0.1</v>
      </c>
    </row>
    <row r="25" customFormat="false" ht="18" hidden="false" customHeight="true" outlineLevel="0" collapsed="false">
      <c r="B25" s="10" t="n">
        <f aca="false">IF(C25=1,B24+1,B24)</f>
        <v>1</v>
      </c>
      <c r="C25" s="10" t="n">
        <f aca="false">IF(C24=4,1,C24+1)</f>
        <v>3</v>
      </c>
      <c r="D25" s="10" t="n">
        <f aca="false">INDEX($D$15:$D$18,C25)</f>
        <v>1</v>
      </c>
      <c r="E25" s="10" t="n">
        <f aca="false">INDEX($E$15:$E$18,C25)</f>
        <v>0</v>
      </c>
      <c r="F25" s="10" t="n">
        <f aca="false">INDEX($F$15:$F$18,C25)</f>
        <v>0</v>
      </c>
      <c r="G25" s="11" t="n">
        <f aca="false">M24</f>
        <v>0</v>
      </c>
      <c r="H25" s="11" t="n">
        <f aca="false">N24</f>
        <v>0</v>
      </c>
      <c r="I25" s="11" t="n">
        <f aca="false">O24</f>
        <v>-0.1</v>
      </c>
      <c r="J25" s="11" t="n">
        <f aca="false">D25*G25+E25*H25+I25</f>
        <v>-0.1</v>
      </c>
      <c r="K25" s="11" t="n">
        <f aca="false">IF(J25&gt;=0,1,0)</f>
        <v>0</v>
      </c>
      <c r="L25" s="10" t="n">
        <f aca="false">F25-K25</f>
        <v>0</v>
      </c>
      <c r="M25" s="11" t="n">
        <f aca="false">G25+$E$10*L25*D25</f>
        <v>0</v>
      </c>
      <c r="N25" s="11" t="n">
        <f aca="false">H25+$E$10*L25*E25</f>
        <v>0</v>
      </c>
      <c r="O25" s="11" t="n">
        <f aca="false">I25+$E$10*L25</f>
        <v>-0.1</v>
      </c>
    </row>
    <row r="26" customFormat="false" ht="18" hidden="false" customHeight="true" outlineLevel="0" collapsed="false">
      <c r="B26" s="10" t="n">
        <f aca="false">IF(C26=1,B25+1,B25)</f>
        <v>1</v>
      </c>
      <c r="C26" s="10" t="n">
        <f aca="false">IF(C25=4,1,C25+1)</f>
        <v>4</v>
      </c>
      <c r="D26" s="10" t="n">
        <f aca="false">INDEX($D$15:$D$18,C26)</f>
        <v>1</v>
      </c>
      <c r="E26" s="10" t="n">
        <f aca="false">INDEX($E$15:$E$18,C26)</f>
        <v>1</v>
      </c>
      <c r="F26" s="10" t="n">
        <f aca="false">INDEX($F$15:$F$18,C26)</f>
        <v>1</v>
      </c>
      <c r="G26" s="11" t="n">
        <f aca="false">M25</f>
        <v>0</v>
      </c>
      <c r="H26" s="11" t="n">
        <f aca="false">N25</f>
        <v>0</v>
      </c>
      <c r="I26" s="11" t="n">
        <f aca="false">O25</f>
        <v>-0.1</v>
      </c>
      <c r="J26" s="11" t="n">
        <f aca="false">D26*G26+E26*H26+I26</f>
        <v>-0.1</v>
      </c>
      <c r="K26" s="11" t="n">
        <f aca="false">IF(J26&gt;=0,1,0)</f>
        <v>0</v>
      </c>
      <c r="L26" s="10" t="n">
        <f aca="false">F26-K26</f>
        <v>1</v>
      </c>
      <c r="M26" s="11" t="n">
        <f aca="false">G26+$E$10*L26*D26</f>
        <v>0.1</v>
      </c>
      <c r="N26" s="11" t="n">
        <f aca="false">H26+$E$10*L26*E26</f>
        <v>0.1</v>
      </c>
      <c r="O26" s="11" t="n">
        <f aca="false">I26+$E$10*L26</f>
        <v>0</v>
      </c>
    </row>
    <row r="27" customFormat="false" ht="18" hidden="false" customHeight="true" outlineLevel="0" collapsed="false">
      <c r="B27" s="12" t="n">
        <f aca="false">IF(C27=1,B26+1,B26)</f>
        <v>2</v>
      </c>
      <c r="C27" s="12" t="n">
        <f aca="false">IF(C26=4,1,C26+1)</f>
        <v>1</v>
      </c>
      <c r="D27" s="12" t="n">
        <f aca="false">INDEX($D$15:$D$18,C27)</f>
        <v>0</v>
      </c>
      <c r="E27" s="12" t="n">
        <f aca="false">INDEX($E$15:$E$18,C27)</f>
        <v>0</v>
      </c>
      <c r="F27" s="12" t="n">
        <f aca="false">INDEX($F$15:$F$18,C27)</f>
        <v>0</v>
      </c>
      <c r="G27" s="13" t="n">
        <f aca="false">M26</f>
        <v>0.1</v>
      </c>
      <c r="H27" s="13" t="n">
        <f aca="false">N26</f>
        <v>0.1</v>
      </c>
      <c r="I27" s="13" t="n">
        <f aca="false">O26</f>
        <v>0</v>
      </c>
      <c r="J27" s="13" t="n">
        <f aca="false">D27*G27+E27*H27+I27</f>
        <v>0</v>
      </c>
      <c r="K27" s="13" t="n">
        <f aca="false">IF(J27&gt;=0,1,0)</f>
        <v>1</v>
      </c>
      <c r="L27" s="12" t="n">
        <f aca="false">F27-K27</f>
        <v>-1</v>
      </c>
      <c r="M27" s="13" t="n">
        <f aca="false">G27+$E$10*L27*D27</f>
        <v>0.1</v>
      </c>
      <c r="N27" s="13" t="n">
        <f aca="false">H27+$E$10*L27*E27</f>
        <v>0.1</v>
      </c>
      <c r="O27" s="13" t="n">
        <f aca="false">I27+$E$10*L27</f>
        <v>-0.1</v>
      </c>
    </row>
    <row r="28" customFormat="false" ht="18" hidden="false" customHeight="true" outlineLevel="0" collapsed="false">
      <c r="B28" s="12" t="n">
        <f aca="false">IF(C28=1,B27+1,B27)</f>
        <v>2</v>
      </c>
      <c r="C28" s="12" t="n">
        <f aca="false">IF(C27=4,1,C27+1)</f>
        <v>2</v>
      </c>
      <c r="D28" s="12" t="n">
        <f aca="false">INDEX($D$15:$D$18,C28)</f>
        <v>0</v>
      </c>
      <c r="E28" s="12" t="n">
        <f aca="false">INDEX($E$15:$E$18,C28)</f>
        <v>1</v>
      </c>
      <c r="F28" s="12" t="n">
        <f aca="false">INDEX($F$15:$F$18,C28)</f>
        <v>0</v>
      </c>
      <c r="G28" s="13" t="n">
        <f aca="false">M27</f>
        <v>0.1</v>
      </c>
      <c r="H28" s="13" t="n">
        <f aca="false">N27</f>
        <v>0.1</v>
      </c>
      <c r="I28" s="13" t="n">
        <f aca="false">O27</f>
        <v>-0.1</v>
      </c>
      <c r="J28" s="13" t="n">
        <f aca="false">D28*G28+E28*H28+I28</f>
        <v>0</v>
      </c>
      <c r="K28" s="13" t="n">
        <f aca="false">IF(J28&gt;=0,1,0)</f>
        <v>1</v>
      </c>
      <c r="L28" s="12" t="n">
        <f aca="false">F28-K28</f>
        <v>-1</v>
      </c>
      <c r="M28" s="13" t="n">
        <f aca="false">G28+$E$10*L28*D28</f>
        <v>0.1</v>
      </c>
      <c r="N28" s="13" t="n">
        <f aca="false">H28+$E$10*L28*E28</f>
        <v>0</v>
      </c>
      <c r="O28" s="13" t="n">
        <f aca="false">I28+$E$10*L28</f>
        <v>-0.2</v>
      </c>
    </row>
    <row r="29" customFormat="false" ht="18" hidden="false" customHeight="true" outlineLevel="0" collapsed="false">
      <c r="B29" s="12" t="n">
        <f aca="false">IF(C29=1,B28+1,B28)</f>
        <v>2</v>
      </c>
      <c r="C29" s="12" t="n">
        <f aca="false">IF(C28=4,1,C28+1)</f>
        <v>3</v>
      </c>
      <c r="D29" s="12" t="n">
        <f aca="false">INDEX($D$15:$D$18,C29)</f>
        <v>1</v>
      </c>
      <c r="E29" s="12" t="n">
        <f aca="false">INDEX($E$15:$E$18,C29)</f>
        <v>0</v>
      </c>
      <c r="F29" s="12" t="n">
        <f aca="false">INDEX($F$15:$F$18,C29)</f>
        <v>0</v>
      </c>
      <c r="G29" s="13" t="n">
        <f aca="false">M28</f>
        <v>0.1</v>
      </c>
      <c r="H29" s="13" t="n">
        <f aca="false">N28</f>
        <v>0</v>
      </c>
      <c r="I29" s="13" t="n">
        <f aca="false">O28</f>
        <v>-0.2</v>
      </c>
      <c r="J29" s="13" t="n">
        <f aca="false">D29*G29+E29*H29+I29</f>
        <v>-0.1</v>
      </c>
      <c r="K29" s="13" t="n">
        <f aca="false">IF(J29&gt;=0,1,0)</f>
        <v>0</v>
      </c>
      <c r="L29" s="12" t="n">
        <f aca="false">F29-K29</f>
        <v>0</v>
      </c>
      <c r="M29" s="13" t="n">
        <f aca="false">G29+$E$10*L29*D29</f>
        <v>0.1</v>
      </c>
      <c r="N29" s="13" t="n">
        <f aca="false">H29+$E$10*L29*E29</f>
        <v>0</v>
      </c>
      <c r="O29" s="13" t="n">
        <f aca="false">I29+$E$10*L29</f>
        <v>-0.2</v>
      </c>
    </row>
    <row r="30" customFormat="false" ht="18" hidden="false" customHeight="true" outlineLevel="0" collapsed="false">
      <c r="B30" s="12" t="n">
        <f aca="false">IF(C30=1,B29+1,B29)</f>
        <v>2</v>
      </c>
      <c r="C30" s="12" t="n">
        <f aca="false">IF(C29=4,1,C29+1)</f>
        <v>4</v>
      </c>
      <c r="D30" s="12" t="n">
        <f aca="false">INDEX($D$15:$D$18,C30)</f>
        <v>1</v>
      </c>
      <c r="E30" s="12" t="n">
        <f aca="false">INDEX($E$15:$E$18,C30)</f>
        <v>1</v>
      </c>
      <c r="F30" s="12" t="n">
        <f aca="false">INDEX($F$15:$F$18,C30)</f>
        <v>1</v>
      </c>
      <c r="G30" s="13" t="n">
        <f aca="false">M29</f>
        <v>0.1</v>
      </c>
      <c r="H30" s="13" t="n">
        <f aca="false">N29</f>
        <v>0</v>
      </c>
      <c r="I30" s="13" t="n">
        <f aca="false">O29</f>
        <v>-0.2</v>
      </c>
      <c r="J30" s="13" t="n">
        <f aca="false">D30*G30+E30*H30+I30</f>
        <v>-0.1</v>
      </c>
      <c r="K30" s="13" t="n">
        <f aca="false">IF(J30&gt;=0,1,0)</f>
        <v>0</v>
      </c>
      <c r="L30" s="12" t="n">
        <f aca="false">F30-K30</f>
        <v>1</v>
      </c>
      <c r="M30" s="13" t="n">
        <f aca="false">G30+$E$10*L30*D30</f>
        <v>0.2</v>
      </c>
      <c r="N30" s="13" t="n">
        <f aca="false">H30+$E$10*L30*E30</f>
        <v>0.1</v>
      </c>
      <c r="O30" s="13" t="n">
        <f aca="false">I30+$E$10*L30</f>
        <v>-0.1</v>
      </c>
    </row>
    <row r="31" customFormat="false" ht="18" hidden="false" customHeight="true" outlineLevel="0" collapsed="false">
      <c r="B31" s="10" t="n">
        <f aca="false">IF(C31=1,B30+1,B30)</f>
        <v>3</v>
      </c>
      <c r="C31" s="10" t="n">
        <f aca="false">IF(C30=4,1,C30+1)</f>
        <v>1</v>
      </c>
      <c r="D31" s="10" t="n">
        <f aca="false">INDEX($D$15:$D$18,C31)</f>
        <v>0</v>
      </c>
      <c r="E31" s="10" t="n">
        <f aca="false">INDEX($E$15:$E$18,C31)</f>
        <v>0</v>
      </c>
      <c r="F31" s="10" t="n">
        <f aca="false">INDEX($F$15:$F$18,C31)</f>
        <v>0</v>
      </c>
      <c r="G31" s="11" t="n">
        <f aca="false">M30</f>
        <v>0.2</v>
      </c>
      <c r="H31" s="11" t="n">
        <f aca="false">N30</f>
        <v>0.1</v>
      </c>
      <c r="I31" s="11" t="n">
        <f aca="false">O30</f>
        <v>-0.1</v>
      </c>
      <c r="J31" s="11" t="n">
        <f aca="false">D31*G31+E31*H31+I31</f>
        <v>-0.1</v>
      </c>
      <c r="K31" s="11" t="n">
        <f aca="false">IF(J31&gt;=0,1,0)</f>
        <v>0</v>
      </c>
      <c r="L31" s="10" t="n">
        <f aca="false">F31-K31</f>
        <v>0</v>
      </c>
      <c r="M31" s="11" t="n">
        <f aca="false">G31+$E$10*L31*D31</f>
        <v>0.2</v>
      </c>
      <c r="N31" s="11" t="n">
        <f aca="false">H31+$E$10*L31*E31</f>
        <v>0.1</v>
      </c>
      <c r="O31" s="11" t="n">
        <f aca="false">I31+$E$10*L31</f>
        <v>-0.1</v>
      </c>
    </row>
    <row r="32" customFormat="false" ht="18" hidden="false" customHeight="true" outlineLevel="0" collapsed="false">
      <c r="B32" s="10" t="n">
        <f aca="false">IF(C32=1,B31+1,B31)</f>
        <v>3</v>
      </c>
      <c r="C32" s="10" t="n">
        <f aca="false">IF(C31=4,1,C31+1)</f>
        <v>2</v>
      </c>
      <c r="D32" s="10" t="n">
        <f aca="false">INDEX($D$15:$D$18,C32)</f>
        <v>0</v>
      </c>
      <c r="E32" s="10" t="n">
        <f aca="false">INDEX($E$15:$E$18,C32)</f>
        <v>1</v>
      </c>
      <c r="F32" s="10" t="n">
        <f aca="false">INDEX($F$15:$F$18,C32)</f>
        <v>0</v>
      </c>
      <c r="G32" s="11" t="n">
        <f aca="false">M31</f>
        <v>0.2</v>
      </c>
      <c r="H32" s="11" t="n">
        <f aca="false">N31</f>
        <v>0.1</v>
      </c>
      <c r="I32" s="11" t="n">
        <f aca="false">O31</f>
        <v>-0.1</v>
      </c>
      <c r="J32" s="11" t="n">
        <f aca="false">D32*G32+E32*H32+I32</f>
        <v>0</v>
      </c>
      <c r="K32" s="11" t="n">
        <f aca="false">IF(J32&gt;=0,1,0)</f>
        <v>1</v>
      </c>
      <c r="L32" s="10" t="n">
        <f aca="false">F32-K32</f>
        <v>-1</v>
      </c>
      <c r="M32" s="11" t="n">
        <f aca="false">G32+$E$10*L32*D32</f>
        <v>0.2</v>
      </c>
      <c r="N32" s="11" t="n">
        <f aca="false">H32+$E$10*L32*E32</f>
        <v>0</v>
      </c>
      <c r="O32" s="11" t="n">
        <f aca="false">I32+$E$10*L32</f>
        <v>-0.2</v>
      </c>
    </row>
    <row r="33" customFormat="false" ht="18" hidden="false" customHeight="true" outlineLevel="0" collapsed="false">
      <c r="B33" s="10" t="n">
        <f aca="false">IF(C33=1,B32+1,B32)</f>
        <v>3</v>
      </c>
      <c r="C33" s="10" t="n">
        <f aca="false">IF(C32=4,1,C32+1)</f>
        <v>3</v>
      </c>
      <c r="D33" s="10" t="n">
        <f aca="false">INDEX($D$15:$D$18,C33)</f>
        <v>1</v>
      </c>
      <c r="E33" s="10" t="n">
        <f aca="false">INDEX($E$15:$E$18,C33)</f>
        <v>0</v>
      </c>
      <c r="F33" s="10" t="n">
        <f aca="false">INDEX($F$15:$F$18,C33)</f>
        <v>0</v>
      </c>
      <c r="G33" s="11" t="n">
        <f aca="false">M32</f>
        <v>0.2</v>
      </c>
      <c r="H33" s="11" t="n">
        <f aca="false">N32</f>
        <v>0</v>
      </c>
      <c r="I33" s="11" t="n">
        <f aca="false">O32</f>
        <v>-0.2</v>
      </c>
      <c r="J33" s="11" t="n">
        <f aca="false">D33*G33+E33*H33+I33</f>
        <v>0</v>
      </c>
      <c r="K33" s="11" t="n">
        <f aca="false">IF(J33&gt;=0,1,0)</f>
        <v>1</v>
      </c>
      <c r="L33" s="10" t="n">
        <f aca="false">F33-K33</f>
        <v>-1</v>
      </c>
      <c r="M33" s="11" t="n">
        <f aca="false">G33+$E$10*L33*D33</f>
        <v>0.1</v>
      </c>
      <c r="N33" s="11" t="n">
        <f aca="false">H33+$E$10*L33*E33</f>
        <v>0</v>
      </c>
      <c r="O33" s="11" t="n">
        <f aca="false">I33+$E$10*L33</f>
        <v>-0.3</v>
      </c>
    </row>
    <row r="34" customFormat="false" ht="18" hidden="false" customHeight="true" outlineLevel="0" collapsed="false">
      <c r="B34" s="10" t="n">
        <f aca="false">IF(C34=1,B33+1,B33)</f>
        <v>3</v>
      </c>
      <c r="C34" s="10" t="n">
        <f aca="false">IF(C33=4,1,C33+1)</f>
        <v>4</v>
      </c>
      <c r="D34" s="10" t="n">
        <f aca="false">INDEX($D$15:$D$18,C34)</f>
        <v>1</v>
      </c>
      <c r="E34" s="10" t="n">
        <f aca="false">INDEX($E$15:$E$18,C34)</f>
        <v>1</v>
      </c>
      <c r="F34" s="10" t="n">
        <f aca="false">INDEX($F$15:$F$18,C34)</f>
        <v>1</v>
      </c>
      <c r="G34" s="11" t="n">
        <f aca="false">M33</f>
        <v>0.1</v>
      </c>
      <c r="H34" s="11" t="n">
        <f aca="false">N33</f>
        <v>0</v>
      </c>
      <c r="I34" s="11" t="n">
        <f aca="false">O33</f>
        <v>-0.3</v>
      </c>
      <c r="J34" s="11" t="n">
        <f aca="false">D34*G34+E34*H34+I34</f>
        <v>-0.2</v>
      </c>
      <c r="K34" s="11" t="n">
        <f aca="false">IF(J34&gt;=0,1,0)</f>
        <v>0</v>
      </c>
      <c r="L34" s="10" t="n">
        <f aca="false">F34-K34</f>
        <v>1</v>
      </c>
      <c r="M34" s="11" t="n">
        <f aca="false">G34+$E$10*L34*D34</f>
        <v>0.2</v>
      </c>
      <c r="N34" s="11" t="n">
        <f aca="false">H34+$E$10*L34*E34</f>
        <v>0.1</v>
      </c>
      <c r="O34" s="11" t="n">
        <f aca="false">I34+$E$10*L34</f>
        <v>-0.2</v>
      </c>
    </row>
    <row r="35" customFormat="false" ht="18" hidden="false" customHeight="true" outlineLevel="0" collapsed="false">
      <c r="B35" s="12" t="n">
        <f aca="false">IF(C35=1,B34+1,B34)</f>
        <v>4</v>
      </c>
      <c r="C35" s="12" t="n">
        <f aca="false">IF(C34=4,1,C34+1)</f>
        <v>1</v>
      </c>
      <c r="D35" s="12" t="n">
        <f aca="false">INDEX($D$15:$D$18,C35)</f>
        <v>0</v>
      </c>
      <c r="E35" s="12" t="n">
        <f aca="false">INDEX($E$15:$E$18,C35)</f>
        <v>0</v>
      </c>
      <c r="F35" s="12" t="n">
        <f aca="false">INDEX($F$15:$F$18,C35)</f>
        <v>0</v>
      </c>
      <c r="G35" s="13" t="n">
        <f aca="false">M34</f>
        <v>0.2</v>
      </c>
      <c r="H35" s="13" t="n">
        <f aca="false">N34</f>
        <v>0.1</v>
      </c>
      <c r="I35" s="13" t="n">
        <f aca="false">O34</f>
        <v>-0.2</v>
      </c>
      <c r="J35" s="13" t="n">
        <f aca="false">D35*G35+E35*H35+I35</f>
        <v>-0.2</v>
      </c>
      <c r="K35" s="13" t="n">
        <f aca="false">IF(J35&gt;=0,1,0)</f>
        <v>0</v>
      </c>
      <c r="L35" s="12" t="n">
        <f aca="false">F35-K35</f>
        <v>0</v>
      </c>
      <c r="M35" s="13" t="n">
        <f aca="false">G35+$E$10*L35*D35</f>
        <v>0.2</v>
      </c>
      <c r="N35" s="13" t="n">
        <f aca="false">H35+$E$10*L35*E35</f>
        <v>0.1</v>
      </c>
      <c r="O35" s="13" t="n">
        <f aca="false">I35+$E$10*L35</f>
        <v>-0.2</v>
      </c>
    </row>
    <row r="36" customFormat="false" ht="18" hidden="false" customHeight="true" outlineLevel="0" collapsed="false">
      <c r="B36" s="12" t="n">
        <f aca="false">IF(C36=1,B35+1,B35)</f>
        <v>4</v>
      </c>
      <c r="C36" s="12" t="n">
        <f aca="false">IF(C35=4,1,C35+1)</f>
        <v>2</v>
      </c>
      <c r="D36" s="12" t="n">
        <f aca="false">INDEX($D$15:$D$18,C36)</f>
        <v>0</v>
      </c>
      <c r="E36" s="12" t="n">
        <f aca="false">INDEX($E$15:$E$18,C36)</f>
        <v>1</v>
      </c>
      <c r="F36" s="12" t="n">
        <f aca="false">INDEX($F$15:$F$18,C36)</f>
        <v>0</v>
      </c>
      <c r="G36" s="13" t="n">
        <f aca="false">M35</f>
        <v>0.2</v>
      </c>
      <c r="H36" s="13" t="n">
        <f aca="false">N35</f>
        <v>0.1</v>
      </c>
      <c r="I36" s="13" t="n">
        <f aca="false">O35</f>
        <v>-0.2</v>
      </c>
      <c r="J36" s="13" t="n">
        <f aca="false">D36*G36+E36*H36+I36</f>
        <v>-0.1</v>
      </c>
      <c r="K36" s="13" t="n">
        <f aca="false">IF(J36&gt;=0,1,0)</f>
        <v>0</v>
      </c>
      <c r="L36" s="12" t="n">
        <f aca="false">F36-K36</f>
        <v>0</v>
      </c>
      <c r="M36" s="13" t="n">
        <f aca="false">G36+$E$10*L36*D36</f>
        <v>0.2</v>
      </c>
      <c r="N36" s="13" t="n">
        <f aca="false">H36+$E$10*L36*E36</f>
        <v>0.1</v>
      </c>
      <c r="O36" s="13" t="n">
        <f aca="false">I36+$E$10*L36</f>
        <v>-0.2</v>
      </c>
    </row>
    <row r="37" customFormat="false" ht="18" hidden="false" customHeight="true" outlineLevel="0" collapsed="false">
      <c r="B37" s="12" t="n">
        <f aca="false">IF(C37=1,B36+1,B36)</f>
        <v>4</v>
      </c>
      <c r="C37" s="12" t="n">
        <f aca="false">IF(C36=4,1,C36+1)</f>
        <v>3</v>
      </c>
      <c r="D37" s="12" t="n">
        <f aca="false">INDEX($D$15:$D$18,C37)</f>
        <v>1</v>
      </c>
      <c r="E37" s="12" t="n">
        <f aca="false">INDEX($E$15:$E$18,C37)</f>
        <v>0</v>
      </c>
      <c r="F37" s="12" t="n">
        <f aca="false">INDEX($F$15:$F$18,C37)</f>
        <v>0</v>
      </c>
      <c r="G37" s="13" t="n">
        <f aca="false">M36</f>
        <v>0.2</v>
      </c>
      <c r="H37" s="13" t="n">
        <f aca="false">N36</f>
        <v>0.1</v>
      </c>
      <c r="I37" s="13" t="n">
        <f aca="false">O36</f>
        <v>-0.2</v>
      </c>
      <c r="J37" s="13" t="n">
        <f aca="false">D37*G37+E37*H37+I37</f>
        <v>0</v>
      </c>
      <c r="K37" s="13" t="n">
        <f aca="false">IF(J37&gt;=0,1,0)</f>
        <v>1</v>
      </c>
      <c r="L37" s="12" t="n">
        <f aca="false">F37-K37</f>
        <v>-1</v>
      </c>
      <c r="M37" s="13" t="n">
        <f aca="false">G37+$E$10*L37*D37</f>
        <v>0.1</v>
      </c>
      <c r="N37" s="13" t="n">
        <f aca="false">H37+$E$10*L37*E37</f>
        <v>0.1</v>
      </c>
      <c r="O37" s="13" t="n">
        <f aca="false">I37+$E$10*L37</f>
        <v>-0.3</v>
      </c>
    </row>
    <row r="38" customFormat="false" ht="18" hidden="false" customHeight="true" outlineLevel="0" collapsed="false">
      <c r="B38" s="12" t="n">
        <f aca="false">IF(C38=1,B37+1,B37)</f>
        <v>4</v>
      </c>
      <c r="C38" s="12" t="n">
        <f aca="false">IF(C37=4,1,C37+1)</f>
        <v>4</v>
      </c>
      <c r="D38" s="12" t="n">
        <f aca="false">INDEX($D$15:$D$18,C38)</f>
        <v>1</v>
      </c>
      <c r="E38" s="12" t="n">
        <f aca="false">INDEX($E$15:$E$18,C38)</f>
        <v>1</v>
      </c>
      <c r="F38" s="12" t="n">
        <f aca="false">INDEX($F$15:$F$18,C38)</f>
        <v>1</v>
      </c>
      <c r="G38" s="13" t="n">
        <f aca="false">M37</f>
        <v>0.1</v>
      </c>
      <c r="H38" s="13" t="n">
        <f aca="false">N37</f>
        <v>0.1</v>
      </c>
      <c r="I38" s="13" t="n">
        <f aca="false">O37</f>
        <v>-0.3</v>
      </c>
      <c r="J38" s="13" t="n">
        <f aca="false">D38*G38+E38*H38+I38</f>
        <v>-0.1</v>
      </c>
      <c r="K38" s="13" t="n">
        <f aca="false">IF(J38&gt;=0,1,0)</f>
        <v>0</v>
      </c>
      <c r="L38" s="12" t="n">
        <f aca="false">F38-K38</f>
        <v>1</v>
      </c>
      <c r="M38" s="13" t="n">
        <f aca="false">G38+$E$10*L38*D38</f>
        <v>0.2</v>
      </c>
      <c r="N38" s="13" t="n">
        <f aca="false">H38+$E$10*L38*E38</f>
        <v>0.2</v>
      </c>
      <c r="O38" s="13" t="n">
        <f aca="false">I38+$E$10*L38</f>
        <v>-0.2</v>
      </c>
    </row>
    <row r="39" customFormat="false" ht="18" hidden="false" customHeight="true" outlineLevel="0" collapsed="false">
      <c r="B39" s="10" t="n">
        <f aca="false">IF(C39=1,B38+1,B38)</f>
        <v>5</v>
      </c>
      <c r="C39" s="10" t="n">
        <f aca="false">IF(C38=4,1,C38+1)</f>
        <v>1</v>
      </c>
      <c r="D39" s="10" t="n">
        <f aca="false">INDEX($D$15:$D$18,C39)</f>
        <v>0</v>
      </c>
      <c r="E39" s="10" t="n">
        <f aca="false">INDEX($E$15:$E$18,C39)</f>
        <v>0</v>
      </c>
      <c r="F39" s="10" t="n">
        <f aca="false">INDEX($F$15:$F$18,C39)</f>
        <v>0</v>
      </c>
      <c r="G39" s="11" t="n">
        <f aca="false">M38</f>
        <v>0.2</v>
      </c>
      <c r="H39" s="11" t="n">
        <f aca="false">N38</f>
        <v>0.2</v>
      </c>
      <c r="I39" s="11" t="n">
        <f aca="false">O38</f>
        <v>-0.2</v>
      </c>
      <c r="J39" s="11" t="n">
        <f aca="false">D39*G39+E39*H39+I39</f>
        <v>-0.2</v>
      </c>
      <c r="K39" s="11" t="n">
        <f aca="false">IF(J39&gt;=0,1,0)</f>
        <v>0</v>
      </c>
      <c r="L39" s="10" t="n">
        <f aca="false">F39-K39</f>
        <v>0</v>
      </c>
      <c r="M39" s="11" t="n">
        <f aca="false">G39+$E$10*L39*D39</f>
        <v>0.2</v>
      </c>
      <c r="N39" s="11" t="n">
        <f aca="false">H39+$E$10*L39*E39</f>
        <v>0.2</v>
      </c>
      <c r="O39" s="11" t="n">
        <f aca="false">I39+$E$10*L39</f>
        <v>-0.2</v>
      </c>
    </row>
    <row r="40" customFormat="false" ht="18" hidden="false" customHeight="true" outlineLevel="0" collapsed="false">
      <c r="B40" s="10" t="n">
        <f aca="false">IF(C40=1,B39+1,B39)</f>
        <v>5</v>
      </c>
      <c r="C40" s="10" t="n">
        <f aca="false">IF(C39=4,1,C39+1)</f>
        <v>2</v>
      </c>
      <c r="D40" s="10" t="n">
        <f aca="false">INDEX($D$15:$D$18,C40)</f>
        <v>0</v>
      </c>
      <c r="E40" s="10" t="n">
        <f aca="false">INDEX($E$15:$E$18,C40)</f>
        <v>1</v>
      </c>
      <c r="F40" s="10" t="n">
        <f aca="false">INDEX($F$15:$F$18,C40)</f>
        <v>0</v>
      </c>
      <c r="G40" s="11" t="n">
        <f aca="false">M39</f>
        <v>0.2</v>
      </c>
      <c r="H40" s="11" t="n">
        <f aca="false">N39</f>
        <v>0.2</v>
      </c>
      <c r="I40" s="11" t="n">
        <f aca="false">O39</f>
        <v>-0.2</v>
      </c>
      <c r="J40" s="11" t="n">
        <f aca="false">D40*G40+E40*H40+I40</f>
        <v>0</v>
      </c>
      <c r="K40" s="11" t="n">
        <f aca="false">IF(J40&gt;=0,1,0)</f>
        <v>1</v>
      </c>
      <c r="L40" s="10" t="n">
        <f aca="false">F40-K40</f>
        <v>-1</v>
      </c>
      <c r="M40" s="11" t="n">
        <f aca="false">G40+$E$10*L40*D40</f>
        <v>0.2</v>
      </c>
      <c r="N40" s="11" t="n">
        <f aca="false">H40+$E$10*L40*E40</f>
        <v>0.1</v>
      </c>
      <c r="O40" s="11" t="n">
        <f aca="false">I40+$E$10*L40</f>
        <v>-0.3</v>
      </c>
    </row>
    <row r="41" customFormat="false" ht="18" hidden="false" customHeight="true" outlineLevel="0" collapsed="false">
      <c r="B41" s="10" t="n">
        <f aca="false">IF(C41=1,B40+1,B40)</f>
        <v>5</v>
      </c>
      <c r="C41" s="10" t="n">
        <f aca="false">IF(C40=4,1,C40+1)</f>
        <v>3</v>
      </c>
      <c r="D41" s="10" t="n">
        <f aca="false">INDEX($D$15:$D$18,C41)</f>
        <v>1</v>
      </c>
      <c r="E41" s="10" t="n">
        <f aca="false">INDEX($E$15:$E$18,C41)</f>
        <v>0</v>
      </c>
      <c r="F41" s="10" t="n">
        <f aca="false">INDEX($F$15:$F$18,C41)</f>
        <v>0</v>
      </c>
      <c r="G41" s="11" t="n">
        <f aca="false">M40</f>
        <v>0.2</v>
      </c>
      <c r="H41" s="11" t="n">
        <f aca="false">N40</f>
        <v>0.1</v>
      </c>
      <c r="I41" s="11" t="n">
        <f aca="false">O40</f>
        <v>-0.3</v>
      </c>
      <c r="J41" s="11" t="n">
        <f aca="false">D41*G41+E41*H41+I41</f>
        <v>-0.1</v>
      </c>
      <c r="K41" s="11" t="n">
        <f aca="false">IF(J41&gt;=0,1,0)</f>
        <v>0</v>
      </c>
      <c r="L41" s="10" t="n">
        <f aca="false">F41-K41</f>
        <v>0</v>
      </c>
      <c r="M41" s="11" t="n">
        <f aca="false">G41+$E$10*L41*D41</f>
        <v>0.2</v>
      </c>
      <c r="N41" s="11" t="n">
        <f aca="false">H41+$E$10*L41*E41</f>
        <v>0.1</v>
      </c>
      <c r="O41" s="11" t="n">
        <f aca="false">I41+$E$10*L41</f>
        <v>-0.3</v>
      </c>
    </row>
    <row r="42" customFormat="false" ht="18" hidden="false" customHeight="true" outlineLevel="0" collapsed="false">
      <c r="B42" s="10" t="n">
        <f aca="false">IF(C42=1,B41+1,B41)</f>
        <v>5</v>
      </c>
      <c r="C42" s="10" t="n">
        <f aca="false">IF(C41=4,1,C41+1)</f>
        <v>4</v>
      </c>
      <c r="D42" s="10" t="n">
        <f aca="false">INDEX($D$15:$D$18,C42)</f>
        <v>1</v>
      </c>
      <c r="E42" s="10" t="n">
        <f aca="false">INDEX($E$15:$E$18,C42)</f>
        <v>1</v>
      </c>
      <c r="F42" s="10" t="n">
        <f aca="false">INDEX($F$15:$F$18,C42)</f>
        <v>1</v>
      </c>
      <c r="G42" s="11" t="n">
        <f aca="false">M41</f>
        <v>0.2</v>
      </c>
      <c r="H42" s="11" t="n">
        <f aca="false">N41</f>
        <v>0.1</v>
      </c>
      <c r="I42" s="11" t="n">
        <f aca="false">O41</f>
        <v>-0.3</v>
      </c>
      <c r="J42" s="11" t="n">
        <f aca="false">D42*G42+E42*H42+I42</f>
        <v>0</v>
      </c>
      <c r="K42" s="11" t="n">
        <f aca="false">IF(J42&gt;=0,1,0)</f>
        <v>1</v>
      </c>
      <c r="L42" s="10" t="n">
        <f aca="false">F42-K42</f>
        <v>0</v>
      </c>
      <c r="M42" s="11" t="n">
        <f aca="false">G42+$E$10*L42*D42</f>
        <v>0.2</v>
      </c>
      <c r="N42" s="11" t="n">
        <f aca="false">H42+$E$10*L42*E42</f>
        <v>0.1</v>
      </c>
      <c r="O42" s="11" t="n">
        <f aca="false">I42+$E$10*L42</f>
        <v>-0.3</v>
      </c>
    </row>
    <row r="43" customFormat="false" ht="18" hidden="false" customHeight="true" outlineLevel="0" collapsed="false">
      <c r="B43" s="12" t="n">
        <f aca="false">IF(C43=1,B42+1,B42)</f>
        <v>6</v>
      </c>
      <c r="C43" s="12" t="n">
        <f aca="false">IF(C42=4,1,C42+1)</f>
        <v>1</v>
      </c>
      <c r="D43" s="12" t="n">
        <f aca="false">INDEX($D$15:$D$18,C43)</f>
        <v>0</v>
      </c>
      <c r="E43" s="12" t="n">
        <f aca="false">INDEX($E$15:$E$18,C43)</f>
        <v>0</v>
      </c>
      <c r="F43" s="12" t="n">
        <f aca="false">INDEX($F$15:$F$18,C43)</f>
        <v>0</v>
      </c>
      <c r="G43" s="13" t="n">
        <f aca="false">M42</f>
        <v>0.2</v>
      </c>
      <c r="H43" s="13" t="n">
        <f aca="false">N42</f>
        <v>0.1</v>
      </c>
      <c r="I43" s="13" t="n">
        <f aca="false">O42</f>
        <v>-0.3</v>
      </c>
      <c r="J43" s="13" t="n">
        <f aca="false">D43*G43+E43*H43+I43</f>
        <v>-0.3</v>
      </c>
      <c r="K43" s="13" t="n">
        <f aca="false">IF(J43&gt;=0,1,0)</f>
        <v>0</v>
      </c>
      <c r="L43" s="12" t="n">
        <f aca="false">F43-K43</f>
        <v>0</v>
      </c>
      <c r="M43" s="13" t="n">
        <f aca="false">G43+$E$10*L43*D43</f>
        <v>0.2</v>
      </c>
      <c r="N43" s="13" t="n">
        <f aca="false">H43+$E$10*L43*E43</f>
        <v>0.1</v>
      </c>
      <c r="O43" s="13" t="n">
        <f aca="false">I43+$E$10*L43</f>
        <v>-0.3</v>
      </c>
    </row>
    <row r="44" customFormat="false" ht="18" hidden="false" customHeight="true" outlineLevel="0" collapsed="false">
      <c r="B44" s="12" t="n">
        <f aca="false">IF(C44=1,B43+1,B43)</f>
        <v>6</v>
      </c>
      <c r="C44" s="12" t="n">
        <f aca="false">IF(C43=4,1,C43+1)</f>
        <v>2</v>
      </c>
      <c r="D44" s="12" t="n">
        <f aca="false">INDEX($D$15:$D$18,C44)</f>
        <v>0</v>
      </c>
      <c r="E44" s="12" t="n">
        <f aca="false">INDEX($E$15:$E$18,C44)</f>
        <v>1</v>
      </c>
      <c r="F44" s="12" t="n">
        <f aca="false">INDEX($F$15:$F$18,C44)</f>
        <v>0</v>
      </c>
      <c r="G44" s="13" t="n">
        <f aca="false">M43</f>
        <v>0.2</v>
      </c>
      <c r="H44" s="13" t="n">
        <f aca="false">N43</f>
        <v>0.1</v>
      </c>
      <c r="I44" s="13" t="n">
        <f aca="false">O43</f>
        <v>-0.3</v>
      </c>
      <c r="J44" s="13" t="n">
        <f aca="false">D44*G44+E44*H44+I44</f>
        <v>-0.2</v>
      </c>
      <c r="K44" s="13" t="n">
        <f aca="false">IF(J44&gt;=0,1,0)</f>
        <v>0</v>
      </c>
      <c r="L44" s="12" t="n">
        <f aca="false">F44-K44</f>
        <v>0</v>
      </c>
      <c r="M44" s="13" t="n">
        <f aca="false">G44+$E$10*L44*D44</f>
        <v>0.2</v>
      </c>
      <c r="N44" s="13" t="n">
        <f aca="false">H44+$E$10*L44*E44</f>
        <v>0.1</v>
      </c>
      <c r="O44" s="13" t="n">
        <f aca="false">I44+$E$10*L44</f>
        <v>-0.3</v>
      </c>
    </row>
    <row r="45" customFormat="false" ht="18" hidden="false" customHeight="true" outlineLevel="0" collapsed="false">
      <c r="B45" s="12" t="n">
        <f aca="false">IF(C45=1,B44+1,B44)</f>
        <v>6</v>
      </c>
      <c r="C45" s="12" t="n">
        <f aca="false">IF(C44=4,1,C44+1)</f>
        <v>3</v>
      </c>
      <c r="D45" s="12" t="n">
        <f aca="false">INDEX($D$15:$D$18,C45)</f>
        <v>1</v>
      </c>
      <c r="E45" s="12" t="n">
        <f aca="false">INDEX($E$15:$E$18,C45)</f>
        <v>0</v>
      </c>
      <c r="F45" s="12" t="n">
        <f aca="false">INDEX($F$15:$F$18,C45)</f>
        <v>0</v>
      </c>
      <c r="G45" s="13" t="n">
        <f aca="false">M44</f>
        <v>0.2</v>
      </c>
      <c r="H45" s="13" t="n">
        <f aca="false">N44</f>
        <v>0.1</v>
      </c>
      <c r="I45" s="13" t="n">
        <f aca="false">O44</f>
        <v>-0.3</v>
      </c>
      <c r="J45" s="13" t="n">
        <f aca="false">D45*G45+E45*H45+I45</f>
        <v>-0.1</v>
      </c>
      <c r="K45" s="13" t="n">
        <f aca="false">IF(J45&gt;=0,1,0)</f>
        <v>0</v>
      </c>
      <c r="L45" s="12" t="n">
        <f aca="false">F45-K45</f>
        <v>0</v>
      </c>
      <c r="M45" s="13" t="n">
        <f aca="false">G45+$E$10*L45*D45</f>
        <v>0.2</v>
      </c>
      <c r="N45" s="13" t="n">
        <f aca="false">H45+$E$10*L45*E45</f>
        <v>0.1</v>
      </c>
      <c r="O45" s="13" t="n">
        <f aca="false">I45+$E$10*L45</f>
        <v>-0.3</v>
      </c>
    </row>
    <row r="46" customFormat="false" ht="18" hidden="false" customHeight="true" outlineLevel="0" collapsed="false">
      <c r="B46" s="12" t="n">
        <f aca="false">IF(C46=1,B45+1,B45)</f>
        <v>6</v>
      </c>
      <c r="C46" s="12" t="n">
        <f aca="false">IF(C45=4,1,C45+1)</f>
        <v>4</v>
      </c>
      <c r="D46" s="12" t="n">
        <f aca="false">INDEX($D$15:$D$18,C46)</f>
        <v>1</v>
      </c>
      <c r="E46" s="12" t="n">
        <f aca="false">INDEX($E$15:$E$18,C46)</f>
        <v>1</v>
      </c>
      <c r="F46" s="12" t="n">
        <f aca="false">INDEX($F$15:$F$18,C46)</f>
        <v>1</v>
      </c>
      <c r="G46" s="13" t="n">
        <f aca="false">M45</f>
        <v>0.2</v>
      </c>
      <c r="H46" s="13" t="n">
        <f aca="false">N45</f>
        <v>0.1</v>
      </c>
      <c r="I46" s="13" t="n">
        <f aca="false">O45</f>
        <v>-0.3</v>
      </c>
      <c r="J46" s="13" t="n">
        <f aca="false">D46*G46+E46*H46+I46</f>
        <v>0</v>
      </c>
      <c r="K46" s="13" t="n">
        <f aca="false">IF(J46&gt;=0,1,0)</f>
        <v>1</v>
      </c>
      <c r="L46" s="12" t="n">
        <f aca="false">F46-K46</f>
        <v>0</v>
      </c>
      <c r="M46" s="13" t="n">
        <f aca="false">G46+$E$10*L46*D46</f>
        <v>0.2</v>
      </c>
      <c r="N46" s="13" t="n">
        <f aca="false">H46+$E$10*L46*E46</f>
        <v>0.1</v>
      </c>
      <c r="O46" s="13" t="n">
        <f aca="false">I46+$E$10*L46</f>
        <v>-0.3</v>
      </c>
    </row>
    <row r="47" customFormat="false" ht="18" hidden="false" customHeight="true" outlineLevel="0" collapsed="false">
      <c r="B47" s="10" t="n">
        <f aca="false">IF(C47=1,B46+1,B46)</f>
        <v>7</v>
      </c>
      <c r="C47" s="10" t="n">
        <f aca="false">IF(C46=4,1,C46+1)</f>
        <v>1</v>
      </c>
      <c r="D47" s="10" t="n">
        <f aca="false">INDEX($D$15:$D$18,C47)</f>
        <v>0</v>
      </c>
      <c r="E47" s="10" t="n">
        <f aca="false">INDEX($E$15:$E$18,C47)</f>
        <v>0</v>
      </c>
      <c r="F47" s="10" t="n">
        <f aca="false">INDEX($F$15:$F$18,C47)</f>
        <v>0</v>
      </c>
      <c r="G47" s="11" t="n">
        <f aca="false">M46</f>
        <v>0.2</v>
      </c>
      <c r="H47" s="11" t="n">
        <f aca="false">N46</f>
        <v>0.1</v>
      </c>
      <c r="I47" s="11" t="n">
        <f aca="false">O46</f>
        <v>-0.3</v>
      </c>
      <c r="J47" s="11" t="n">
        <f aca="false">D47*G47+E47*H47+I47</f>
        <v>-0.3</v>
      </c>
      <c r="K47" s="11" t="n">
        <f aca="false">IF(J47&gt;=0,1,0)</f>
        <v>0</v>
      </c>
      <c r="L47" s="10" t="n">
        <f aca="false">F47-K47</f>
        <v>0</v>
      </c>
      <c r="M47" s="11" t="n">
        <f aca="false">G47+$E$10*L47*D47</f>
        <v>0.2</v>
      </c>
      <c r="N47" s="11" t="n">
        <f aca="false">H47+$E$10*L47*E47</f>
        <v>0.1</v>
      </c>
      <c r="O47" s="11" t="n">
        <f aca="false">I47+$E$10*L47</f>
        <v>-0.3</v>
      </c>
    </row>
    <row r="48" customFormat="false" ht="18" hidden="false" customHeight="true" outlineLevel="0" collapsed="false">
      <c r="B48" s="10" t="n">
        <f aca="false">IF(C48=1,B47+1,B47)</f>
        <v>7</v>
      </c>
      <c r="C48" s="10" t="n">
        <f aca="false">IF(C47=4,1,C47+1)</f>
        <v>2</v>
      </c>
      <c r="D48" s="10" t="n">
        <f aca="false">INDEX($D$15:$D$18,C48)</f>
        <v>0</v>
      </c>
      <c r="E48" s="10" t="n">
        <f aca="false">INDEX($E$15:$E$18,C48)</f>
        <v>1</v>
      </c>
      <c r="F48" s="10" t="n">
        <f aca="false">INDEX($F$15:$F$18,C48)</f>
        <v>0</v>
      </c>
      <c r="G48" s="11" t="n">
        <f aca="false">M47</f>
        <v>0.2</v>
      </c>
      <c r="H48" s="11" t="n">
        <f aca="false">N47</f>
        <v>0.1</v>
      </c>
      <c r="I48" s="11" t="n">
        <f aca="false">O47</f>
        <v>-0.3</v>
      </c>
      <c r="J48" s="11" t="n">
        <f aca="false">D48*G48+E48*H48+I48</f>
        <v>-0.2</v>
      </c>
      <c r="K48" s="11" t="n">
        <f aca="false">IF(J48&gt;=0,1,0)</f>
        <v>0</v>
      </c>
      <c r="L48" s="10" t="n">
        <f aca="false">F48-K48</f>
        <v>0</v>
      </c>
      <c r="M48" s="11" t="n">
        <f aca="false">G48+$E$10*L48*D48</f>
        <v>0.2</v>
      </c>
      <c r="N48" s="11" t="n">
        <f aca="false">H48+$E$10*L48*E48</f>
        <v>0.1</v>
      </c>
      <c r="O48" s="11" t="n">
        <f aca="false">I48+$E$10*L48</f>
        <v>-0.3</v>
      </c>
    </row>
    <row r="49" customFormat="false" ht="18" hidden="false" customHeight="true" outlineLevel="0" collapsed="false">
      <c r="B49" s="10" t="n">
        <f aca="false">IF(C49=1,B48+1,B48)</f>
        <v>7</v>
      </c>
      <c r="C49" s="10" t="n">
        <f aca="false">IF(C48=4,1,C48+1)</f>
        <v>3</v>
      </c>
      <c r="D49" s="10" t="n">
        <f aca="false">INDEX($D$15:$D$18,C49)</f>
        <v>1</v>
      </c>
      <c r="E49" s="10" t="n">
        <f aca="false">INDEX($E$15:$E$18,C49)</f>
        <v>0</v>
      </c>
      <c r="F49" s="10" t="n">
        <f aca="false">INDEX($F$15:$F$18,C49)</f>
        <v>0</v>
      </c>
      <c r="G49" s="11" t="n">
        <f aca="false">M48</f>
        <v>0.2</v>
      </c>
      <c r="H49" s="11" t="n">
        <f aca="false">N48</f>
        <v>0.1</v>
      </c>
      <c r="I49" s="11" t="n">
        <f aca="false">O48</f>
        <v>-0.3</v>
      </c>
      <c r="J49" s="11" t="n">
        <f aca="false">D49*G49+E49*H49+I49</f>
        <v>-0.1</v>
      </c>
      <c r="K49" s="11" t="n">
        <f aca="false">IF(J49&gt;=0,1,0)</f>
        <v>0</v>
      </c>
      <c r="L49" s="10" t="n">
        <f aca="false">F49-K49</f>
        <v>0</v>
      </c>
      <c r="M49" s="11" t="n">
        <f aca="false">G49+$E$10*L49*D49</f>
        <v>0.2</v>
      </c>
      <c r="N49" s="11" t="n">
        <f aca="false">H49+$E$10*L49*E49</f>
        <v>0.1</v>
      </c>
      <c r="O49" s="11" t="n">
        <f aca="false">I49+$E$10*L49</f>
        <v>-0.3</v>
      </c>
    </row>
    <row r="50" customFormat="false" ht="18" hidden="false" customHeight="true" outlineLevel="0" collapsed="false">
      <c r="B50" s="10" t="n">
        <f aca="false">IF(C50=1,B49+1,B49)</f>
        <v>7</v>
      </c>
      <c r="C50" s="10" t="n">
        <f aca="false">IF(C49=4,1,C49+1)</f>
        <v>4</v>
      </c>
      <c r="D50" s="10" t="n">
        <f aca="false">INDEX($D$15:$D$18,C50)</f>
        <v>1</v>
      </c>
      <c r="E50" s="10" t="n">
        <f aca="false">INDEX($E$15:$E$18,C50)</f>
        <v>1</v>
      </c>
      <c r="F50" s="10" t="n">
        <f aca="false">INDEX($F$15:$F$18,C50)</f>
        <v>1</v>
      </c>
      <c r="G50" s="11" t="n">
        <f aca="false">M49</f>
        <v>0.2</v>
      </c>
      <c r="H50" s="11" t="n">
        <f aca="false">N49</f>
        <v>0.1</v>
      </c>
      <c r="I50" s="11" t="n">
        <f aca="false">O49</f>
        <v>-0.3</v>
      </c>
      <c r="J50" s="11" t="n">
        <f aca="false">D50*G50+E50*H50+I50</f>
        <v>0</v>
      </c>
      <c r="K50" s="11" t="n">
        <f aca="false">IF(J50&gt;=0,1,0)</f>
        <v>1</v>
      </c>
      <c r="L50" s="10" t="n">
        <f aca="false">F50-K50</f>
        <v>0</v>
      </c>
      <c r="M50" s="11" t="n">
        <f aca="false">G50+$E$10*L50*D50</f>
        <v>0.2</v>
      </c>
      <c r="N50" s="11" t="n">
        <f aca="false">H50+$E$10*L50*E50</f>
        <v>0.1</v>
      </c>
      <c r="O50" s="11" t="n">
        <f aca="false">I50+$E$10*L50</f>
        <v>-0.3</v>
      </c>
    </row>
    <row r="51" customFormat="false" ht="18" hidden="false" customHeight="true" outlineLevel="0" collapsed="false">
      <c r="B51" s="12" t="n">
        <f aca="false">IF(C51=1,B50+1,B50)</f>
        <v>8</v>
      </c>
      <c r="C51" s="12" t="n">
        <f aca="false">IF(C50=4,1,C50+1)</f>
        <v>1</v>
      </c>
      <c r="D51" s="12" t="n">
        <f aca="false">INDEX($D$15:$D$18,C51)</f>
        <v>0</v>
      </c>
      <c r="E51" s="12" t="n">
        <f aca="false">INDEX($E$15:$E$18,C51)</f>
        <v>0</v>
      </c>
      <c r="F51" s="12" t="n">
        <f aca="false">INDEX($F$15:$F$18,C51)</f>
        <v>0</v>
      </c>
      <c r="G51" s="13" t="n">
        <f aca="false">M50</f>
        <v>0.2</v>
      </c>
      <c r="H51" s="13" t="n">
        <f aca="false">N50</f>
        <v>0.1</v>
      </c>
      <c r="I51" s="13" t="n">
        <f aca="false">O50</f>
        <v>-0.3</v>
      </c>
      <c r="J51" s="13" t="n">
        <f aca="false">D51*G51+E51*H51+I51</f>
        <v>-0.3</v>
      </c>
      <c r="K51" s="13" t="n">
        <f aca="false">IF(J51&gt;=0,1,0)</f>
        <v>0</v>
      </c>
      <c r="L51" s="12" t="n">
        <f aca="false">F51-K51</f>
        <v>0</v>
      </c>
      <c r="M51" s="13" t="n">
        <f aca="false">G51+$E$10*L51*D51</f>
        <v>0.2</v>
      </c>
      <c r="N51" s="13" t="n">
        <f aca="false">H51+$E$10*L51*E51</f>
        <v>0.1</v>
      </c>
      <c r="O51" s="13" t="n">
        <f aca="false">I51+$E$10*L51</f>
        <v>-0.3</v>
      </c>
    </row>
    <row r="52" customFormat="false" ht="18" hidden="false" customHeight="true" outlineLevel="0" collapsed="false">
      <c r="B52" s="12" t="n">
        <f aca="false">IF(C52=1,B51+1,B51)</f>
        <v>8</v>
      </c>
      <c r="C52" s="12" t="n">
        <f aca="false">IF(C51=4,1,C51+1)</f>
        <v>2</v>
      </c>
      <c r="D52" s="12" t="n">
        <f aca="false">INDEX($D$15:$D$18,C52)</f>
        <v>0</v>
      </c>
      <c r="E52" s="12" t="n">
        <f aca="false">INDEX($E$15:$E$18,C52)</f>
        <v>1</v>
      </c>
      <c r="F52" s="12" t="n">
        <f aca="false">INDEX($F$15:$F$18,C52)</f>
        <v>0</v>
      </c>
      <c r="G52" s="13" t="n">
        <f aca="false">M51</f>
        <v>0.2</v>
      </c>
      <c r="H52" s="13" t="n">
        <f aca="false">N51</f>
        <v>0.1</v>
      </c>
      <c r="I52" s="13" t="n">
        <f aca="false">O51</f>
        <v>-0.3</v>
      </c>
      <c r="J52" s="13" t="n">
        <f aca="false">D52*G52+E52*H52+I52</f>
        <v>-0.2</v>
      </c>
      <c r="K52" s="13" t="n">
        <f aca="false">IF(J52&gt;=0,1,0)</f>
        <v>0</v>
      </c>
      <c r="L52" s="12" t="n">
        <f aca="false">F52-K52</f>
        <v>0</v>
      </c>
      <c r="M52" s="13" t="n">
        <f aca="false">G52+$E$10*L52*D52</f>
        <v>0.2</v>
      </c>
      <c r="N52" s="13" t="n">
        <f aca="false">H52+$E$10*L52*E52</f>
        <v>0.1</v>
      </c>
      <c r="O52" s="13" t="n">
        <f aca="false">I52+$E$10*L52</f>
        <v>-0.3</v>
      </c>
    </row>
    <row r="53" customFormat="false" ht="18" hidden="false" customHeight="true" outlineLevel="0" collapsed="false">
      <c r="B53" s="12" t="n">
        <f aca="false">IF(C53=1,B52+1,B52)</f>
        <v>8</v>
      </c>
      <c r="C53" s="12" t="n">
        <f aca="false">IF(C52=4,1,C52+1)</f>
        <v>3</v>
      </c>
      <c r="D53" s="12" t="n">
        <f aca="false">INDEX($D$15:$D$18,C53)</f>
        <v>1</v>
      </c>
      <c r="E53" s="12" t="n">
        <f aca="false">INDEX($E$15:$E$18,C53)</f>
        <v>0</v>
      </c>
      <c r="F53" s="12" t="n">
        <f aca="false">INDEX($F$15:$F$18,C53)</f>
        <v>0</v>
      </c>
      <c r="G53" s="13" t="n">
        <f aca="false">M52</f>
        <v>0.2</v>
      </c>
      <c r="H53" s="13" t="n">
        <f aca="false">N52</f>
        <v>0.1</v>
      </c>
      <c r="I53" s="13" t="n">
        <f aca="false">O52</f>
        <v>-0.3</v>
      </c>
      <c r="J53" s="13" t="n">
        <f aca="false">D53*G53+E53*H53+I53</f>
        <v>-0.1</v>
      </c>
      <c r="K53" s="13" t="n">
        <f aca="false">IF(J53&gt;=0,1,0)</f>
        <v>0</v>
      </c>
      <c r="L53" s="12" t="n">
        <f aca="false">F53-K53</f>
        <v>0</v>
      </c>
      <c r="M53" s="13" t="n">
        <f aca="false">G53+$E$10*L53*D53</f>
        <v>0.2</v>
      </c>
      <c r="N53" s="13" t="n">
        <f aca="false">H53+$E$10*L53*E53</f>
        <v>0.1</v>
      </c>
      <c r="O53" s="13" t="n">
        <f aca="false">I53+$E$10*L53</f>
        <v>-0.3</v>
      </c>
    </row>
    <row r="54" customFormat="false" ht="18" hidden="false" customHeight="true" outlineLevel="0" collapsed="false">
      <c r="B54" s="12" t="n">
        <f aca="false">IF(C54=1,B53+1,B53)</f>
        <v>8</v>
      </c>
      <c r="C54" s="12" t="n">
        <f aca="false">IF(C53=4,1,C53+1)</f>
        <v>4</v>
      </c>
      <c r="D54" s="12" t="n">
        <f aca="false">INDEX($D$15:$D$18,C54)</f>
        <v>1</v>
      </c>
      <c r="E54" s="12" t="n">
        <f aca="false">INDEX($E$15:$E$18,C54)</f>
        <v>1</v>
      </c>
      <c r="F54" s="12" t="n">
        <f aca="false">INDEX($F$15:$F$18,C54)</f>
        <v>1</v>
      </c>
      <c r="G54" s="13" t="n">
        <f aca="false">M53</f>
        <v>0.2</v>
      </c>
      <c r="H54" s="13" t="n">
        <f aca="false">N53</f>
        <v>0.1</v>
      </c>
      <c r="I54" s="13" t="n">
        <f aca="false">O53</f>
        <v>-0.3</v>
      </c>
      <c r="J54" s="13" t="n">
        <f aca="false">D54*G54+E54*H54+I54</f>
        <v>0</v>
      </c>
      <c r="K54" s="13" t="n">
        <f aca="false">IF(J54&gt;=0,1,0)</f>
        <v>1</v>
      </c>
      <c r="L54" s="12" t="n">
        <f aca="false">F54-K54</f>
        <v>0</v>
      </c>
      <c r="M54" s="13" t="n">
        <f aca="false">G54+$E$10*L54*D54</f>
        <v>0.2</v>
      </c>
      <c r="N54" s="13" t="n">
        <f aca="false">H54+$E$10*L54*E54</f>
        <v>0.1</v>
      </c>
      <c r="O54" s="13" t="n">
        <f aca="false">I54+$E$10*L54</f>
        <v>-0.3</v>
      </c>
    </row>
    <row r="55" customFormat="false" ht="18" hidden="false" customHeight="true" outlineLevel="0" collapsed="false">
      <c r="B55" s="10" t="n">
        <f aca="false">IF(C55=1,B54+1,B54)</f>
        <v>9</v>
      </c>
      <c r="C55" s="10" t="n">
        <f aca="false">IF(C54=4,1,C54+1)</f>
        <v>1</v>
      </c>
      <c r="D55" s="10" t="n">
        <f aca="false">INDEX($D$15:$D$18,C55)</f>
        <v>0</v>
      </c>
      <c r="E55" s="10" t="n">
        <f aca="false">INDEX($E$15:$E$18,C55)</f>
        <v>0</v>
      </c>
      <c r="F55" s="10" t="n">
        <f aca="false">INDEX($F$15:$F$18,C55)</f>
        <v>0</v>
      </c>
      <c r="G55" s="11" t="n">
        <f aca="false">M54</f>
        <v>0.2</v>
      </c>
      <c r="H55" s="11" t="n">
        <f aca="false">N54</f>
        <v>0.1</v>
      </c>
      <c r="I55" s="11" t="n">
        <f aca="false">O54</f>
        <v>-0.3</v>
      </c>
      <c r="J55" s="11" t="n">
        <f aca="false">D55*G55+E55*H55+I55</f>
        <v>-0.3</v>
      </c>
      <c r="K55" s="11" t="n">
        <f aca="false">IF(J55&gt;=0,1,0)</f>
        <v>0</v>
      </c>
      <c r="L55" s="10" t="n">
        <f aca="false">F55-K55</f>
        <v>0</v>
      </c>
      <c r="M55" s="11" t="n">
        <f aca="false">G55+$E$10*L55*D55</f>
        <v>0.2</v>
      </c>
      <c r="N55" s="11" t="n">
        <f aca="false">H55+$E$10*L55*E55</f>
        <v>0.1</v>
      </c>
      <c r="O55" s="11" t="n">
        <f aca="false">I55+$E$10*L55</f>
        <v>-0.3</v>
      </c>
    </row>
    <row r="56" customFormat="false" ht="18" hidden="false" customHeight="true" outlineLevel="0" collapsed="false">
      <c r="B56" s="10" t="n">
        <f aca="false">IF(C56=1,B55+1,B55)</f>
        <v>9</v>
      </c>
      <c r="C56" s="10" t="n">
        <f aca="false">IF(C55=4,1,C55+1)</f>
        <v>2</v>
      </c>
      <c r="D56" s="10" t="n">
        <f aca="false">INDEX($D$15:$D$18,C56)</f>
        <v>0</v>
      </c>
      <c r="E56" s="10" t="n">
        <f aca="false">INDEX($E$15:$E$18,C56)</f>
        <v>1</v>
      </c>
      <c r="F56" s="10" t="n">
        <f aca="false">INDEX($F$15:$F$18,C56)</f>
        <v>0</v>
      </c>
      <c r="G56" s="11" t="n">
        <f aca="false">M55</f>
        <v>0.2</v>
      </c>
      <c r="H56" s="11" t="n">
        <f aca="false">N55</f>
        <v>0.1</v>
      </c>
      <c r="I56" s="11" t="n">
        <f aca="false">O55</f>
        <v>-0.3</v>
      </c>
      <c r="J56" s="11" t="n">
        <f aca="false">D56*G56+E56*H56+I56</f>
        <v>-0.2</v>
      </c>
      <c r="K56" s="11" t="n">
        <f aca="false">IF(J56&gt;=0,1,0)</f>
        <v>0</v>
      </c>
      <c r="L56" s="10" t="n">
        <f aca="false">F56-K56</f>
        <v>0</v>
      </c>
      <c r="M56" s="11" t="n">
        <f aca="false">G56+$E$10*L56*D56</f>
        <v>0.2</v>
      </c>
      <c r="N56" s="11" t="n">
        <f aca="false">H56+$E$10*L56*E56</f>
        <v>0.1</v>
      </c>
      <c r="O56" s="11" t="n">
        <f aca="false">I56+$E$10*L56</f>
        <v>-0.3</v>
      </c>
    </row>
    <row r="57" customFormat="false" ht="18" hidden="false" customHeight="true" outlineLevel="0" collapsed="false">
      <c r="B57" s="10" t="n">
        <f aca="false">IF(C57=1,B56+1,B56)</f>
        <v>9</v>
      </c>
      <c r="C57" s="10" t="n">
        <f aca="false">IF(C56=4,1,C56+1)</f>
        <v>3</v>
      </c>
      <c r="D57" s="10" t="n">
        <f aca="false">INDEX($D$15:$D$18,C57)</f>
        <v>1</v>
      </c>
      <c r="E57" s="10" t="n">
        <f aca="false">INDEX($E$15:$E$18,C57)</f>
        <v>0</v>
      </c>
      <c r="F57" s="10" t="n">
        <f aca="false">INDEX($F$15:$F$18,C57)</f>
        <v>0</v>
      </c>
      <c r="G57" s="11" t="n">
        <f aca="false">M56</f>
        <v>0.2</v>
      </c>
      <c r="H57" s="11" t="n">
        <f aca="false">N56</f>
        <v>0.1</v>
      </c>
      <c r="I57" s="11" t="n">
        <f aca="false">O56</f>
        <v>-0.3</v>
      </c>
      <c r="J57" s="11" t="n">
        <f aca="false">D57*G57+E57*H57+I57</f>
        <v>-0.1</v>
      </c>
      <c r="K57" s="11" t="n">
        <f aca="false">IF(J57&gt;=0,1,0)</f>
        <v>0</v>
      </c>
      <c r="L57" s="10" t="n">
        <f aca="false">F57-K57</f>
        <v>0</v>
      </c>
      <c r="M57" s="11" t="n">
        <f aca="false">G57+$E$10*L57*D57</f>
        <v>0.2</v>
      </c>
      <c r="N57" s="11" t="n">
        <f aca="false">H57+$E$10*L57*E57</f>
        <v>0.1</v>
      </c>
      <c r="O57" s="11" t="n">
        <f aca="false">I57+$E$10*L57</f>
        <v>-0.3</v>
      </c>
    </row>
    <row r="58" customFormat="false" ht="18" hidden="false" customHeight="true" outlineLevel="0" collapsed="false">
      <c r="B58" s="10" t="n">
        <f aca="false">IF(C58=1,B57+1,B57)</f>
        <v>9</v>
      </c>
      <c r="C58" s="10" t="n">
        <f aca="false">IF(C57=4,1,C57+1)</f>
        <v>4</v>
      </c>
      <c r="D58" s="10" t="n">
        <f aca="false">INDEX($D$15:$D$18,C58)</f>
        <v>1</v>
      </c>
      <c r="E58" s="10" t="n">
        <f aca="false">INDEX($E$15:$E$18,C58)</f>
        <v>1</v>
      </c>
      <c r="F58" s="10" t="n">
        <f aca="false">INDEX($F$15:$F$18,C58)</f>
        <v>1</v>
      </c>
      <c r="G58" s="11" t="n">
        <f aca="false">M57</f>
        <v>0.2</v>
      </c>
      <c r="H58" s="11" t="n">
        <f aca="false">N57</f>
        <v>0.1</v>
      </c>
      <c r="I58" s="11" t="n">
        <f aca="false">O57</f>
        <v>-0.3</v>
      </c>
      <c r="J58" s="11" t="n">
        <f aca="false">D58*G58+E58*H58+I58</f>
        <v>0</v>
      </c>
      <c r="K58" s="11" t="n">
        <f aca="false">IF(J58&gt;=0,1,0)</f>
        <v>1</v>
      </c>
      <c r="L58" s="10" t="n">
        <f aca="false">F58-K58</f>
        <v>0</v>
      </c>
      <c r="M58" s="11" t="n">
        <f aca="false">G58+$E$10*L58*D58</f>
        <v>0.2</v>
      </c>
      <c r="N58" s="11" t="n">
        <f aca="false">H58+$E$10*L58*E58</f>
        <v>0.1</v>
      </c>
      <c r="O58" s="11" t="n">
        <f aca="false">I58+$E$10*L58</f>
        <v>-0.3</v>
      </c>
    </row>
    <row r="59" customFormat="false" ht="18" hidden="false" customHeight="true" outlineLevel="0" collapsed="false">
      <c r="B59" s="12" t="n">
        <f aca="false">IF(C59=1,B58+1,B58)</f>
        <v>10</v>
      </c>
      <c r="C59" s="12" t="n">
        <f aca="false">IF(C58=4,1,C58+1)</f>
        <v>1</v>
      </c>
      <c r="D59" s="12" t="n">
        <f aca="false">INDEX($D$15:$D$18,C59)</f>
        <v>0</v>
      </c>
      <c r="E59" s="12" t="n">
        <f aca="false">INDEX($E$15:$E$18,C59)</f>
        <v>0</v>
      </c>
      <c r="F59" s="12" t="n">
        <f aca="false">INDEX($F$15:$F$18,C59)</f>
        <v>0</v>
      </c>
      <c r="G59" s="13" t="n">
        <f aca="false">M58</f>
        <v>0.2</v>
      </c>
      <c r="H59" s="13" t="n">
        <f aca="false">N58</f>
        <v>0.1</v>
      </c>
      <c r="I59" s="13" t="n">
        <f aca="false">O58</f>
        <v>-0.3</v>
      </c>
      <c r="J59" s="13" t="n">
        <f aca="false">D59*G59+E59*H59+I59</f>
        <v>-0.3</v>
      </c>
      <c r="K59" s="13" t="n">
        <f aca="false">IF(J59&gt;=0,1,0)</f>
        <v>0</v>
      </c>
      <c r="L59" s="12" t="n">
        <f aca="false">F59-K59</f>
        <v>0</v>
      </c>
      <c r="M59" s="13" t="n">
        <f aca="false">G59+$E$10*L59*D59</f>
        <v>0.2</v>
      </c>
      <c r="N59" s="13" t="n">
        <f aca="false">H59+$E$10*L59*E59</f>
        <v>0.1</v>
      </c>
      <c r="O59" s="13" t="n">
        <f aca="false">I59+$E$10*L59</f>
        <v>-0.3</v>
      </c>
    </row>
    <row r="60" customFormat="false" ht="18" hidden="false" customHeight="true" outlineLevel="0" collapsed="false">
      <c r="B60" s="12" t="n">
        <f aca="false">IF(C60=1,B59+1,B59)</f>
        <v>10</v>
      </c>
      <c r="C60" s="12" t="n">
        <f aca="false">IF(C59=4,1,C59+1)</f>
        <v>2</v>
      </c>
      <c r="D60" s="12" t="n">
        <f aca="false">INDEX($D$15:$D$18,C60)</f>
        <v>0</v>
      </c>
      <c r="E60" s="12" t="n">
        <f aca="false">INDEX($E$15:$E$18,C60)</f>
        <v>1</v>
      </c>
      <c r="F60" s="12" t="n">
        <f aca="false">INDEX($F$15:$F$18,C60)</f>
        <v>0</v>
      </c>
      <c r="G60" s="13" t="n">
        <f aca="false">M59</f>
        <v>0.2</v>
      </c>
      <c r="H60" s="13" t="n">
        <f aca="false">N59</f>
        <v>0.1</v>
      </c>
      <c r="I60" s="13" t="n">
        <f aca="false">O59</f>
        <v>-0.3</v>
      </c>
      <c r="J60" s="13" t="n">
        <f aca="false">D60*G60+E60*H60+I60</f>
        <v>-0.2</v>
      </c>
      <c r="K60" s="13" t="n">
        <f aca="false">IF(J60&gt;=0,1,0)</f>
        <v>0</v>
      </c>
      <c r="L60" s="12" t="n">
        <f aca="false">F60-K60</f>
        <v>0</v>
      </c>
      <c r="M60" s="13" t="n">
        <f aca="false">G60+$E$10*L60*D60</f>
        <v>0.2</v>
      </c>
      <c r="N60" s="13" t="n">
        <f aca="false">H60+$E$10*L60*E60</f>
        <v>0.1</v>
      </c>
      <c r="O60" s="13" t="n">
        <f aca="false">I60+$E$10*L60</f>
        <v>-0.3</v>
      </c>
    </row>
    <row r="61" customFormat="false" ht="18" hidden="false" customHeight="true" outlineLevel="0" collapsed="false">
      <c r="B61" s="12" t="n">
        <f aca="false">IF(C61=1,B60+1,B60)</f>
        <v>10</v>
      </c>
      <c r="C61" s="12" t="n">
        <f aca="false">IF(C60=4,1,C60+1)</f>
        <v>3</v>
      </c>
      <c r="D61" s="12" t="n">
        <f aca="false">INDEX($D$15:$D$18,C61)</f>
        <v>1</v>
      </c>
      <c r="E61" s="12" t="n">
        <f aca="false">INDEX($E$15:$E$18,C61)</f>
        <v>0</v>
      </c>
      <c r="F61" s="12" t="n">
        <f aca="false">INDEX($F$15:$F$18,C61)</f>
        <v>0</v>
      </c>
      <c r="G61" s="13" t="n">
        <f aca="false">M60</f>
        <v>0.2</v>
      </c>
      <c r="H61" s="13" t="n">
        <f aca="false">N60</f>
        <v>0.1</v>
      </c>
      <c r="I61" s="13" t="n">
        <f aca="false">O60</f>
        <v>-0.3</v>
      </c>
      <c r="J61" s="13" t="n">
        <f aca="false">D61*G61+E61*H61+I61</f>
        <v>-0.1</v>
      </c>
      <c r="K61" s="13" t="n">
        <f aca="false">IF(J61&gt;=0,1,0)</f>
        <v>0</v>
      </c>
      <c r="L61" s="12" t="n">
        <f aca="false">F61-K61</f>
        <v>0</v>
      </c>
      <c r="M61" s="13" t="n">
        <f aca="false">G61+$E$10*L61*D61</f>
        <v>0.2</v>
      </c>
      <c r="N61" s="13" t="n">
        <f aca="false">H61+$E$10*L61*E61</f>
        <v>0.1</v>
      </c>
      <c r="O61" s="13" t="n">
        <f aca="false">I61+$E$10*L61</f>
        <v>-0.3</v>
      </c>
    </row>
    <row r="62" customFormat="false" ht="18" hidden="false" customHeight="true" outlineLevel="0" collapsed="false">
      <c r="B62" s="12" t="n">
        <f aca="false">IF(C62=1,B61+1,B61)</f>
        <v>10</v>
      </c>
      <c r="C62" s="12" t="n">
        <f aca="false">IF(C61=4,1,C61+1)</f>
        <v>4</v>
      </c>
      <c r="D62" s="12" t="n">
        <f aca="false">INDEX($D$15:$D$18,C62)</f>
        <v>1</v>
      </c>
      <c r="E62" s="12" t="n">
        <f aca="false">INDEX($E$15:$E$18,C62)</f>
        <v>1</v>
      </c>
      <c r="F62" s="12" t="n">
        <f aca="false">INDEX($F$15:$F$18,C62)</f>
        <v>1</v>
      </c>
      <c r="G62" s="13" t="n">
        <f aca="false">M61</f>
        <v>0.2</v>
      </c>
      <c r="H62" s="13" t="n">
        <f aca="false">N61</f>
        <v>0.1</v>
      </c>
      <c r="I62" s="13" t="n">
        <f aca="false">O61</f>
        <v>-0.3</v>
      </c>
      <c r="J62" s="13" t="n">
        <f aca="false">D62*G62+E62*H62+I62</f>
        <v>0</v>
      </c>
      <c r="K62" s="13" t="n">
        <f aca="false">IF(J62&gt;=0,1,0)</f>
        <v>1</v>
      </c>
      <c r="L62" s="12" t="n">
        <f aca="false">F62-K62</f>
        <v>0</v>
      </c>
      <c r="M62" s="13" t="n">
        <f aca="false">G62+$E$10*L62*D62</f>
        <v>0.2</v>
      </c>
      <c r="N62" s="13" t="n">
        <f aca="false">H62+$E$10*L62*E62</f>
        <v>0.1</v>
      </c>
      <c r="O62" s="13" t="n">
        <f aca="false">I62+$E$10*L62</f>
        <v>-0.3</v>
      </c>
    </row>
    <row r="63" customFormat="false" ht="18" hidden="false" customHeight="true" outlineLevel="0" collapsed="false">
      <c r="B63" s="10" t="n">
        <f aca="false">IF(C63=1,B62+1,B62)</f>
        <v>11</v>
      </c>
      <c r="C63" s="10" t="n">
        <f aca="false">IF(C62=4,1,C62+1)</f>
        <v>1</v>
      </c>
      <c r="D63" s="10" t="n">
        <f aca="false">INDEX($D$15:$D$18,C63)</f>
        <v>0</v>
      </c>
      <c r="E63" s="10" t="n">
        <f aca="false">INDEX($E$15:$E$18,C63)</f>
        <v>0</v>
      </c>
      <c r="F63" s="10" t="n">
        <f aca="false">INDEX($F$15:$F$18,C63)</f>
        <v>0</v>
      </c>
      <c r="G63" s="11" t="n">
        <f aca="false">M62</f>
        <v>0.2</v>
      </c>
      <c r="H63" s="11" t="n">
        <f aca="false">N62</f>
        <v>0.1</v>
      </c>
      <c r="I63" s="11" t="n">
        <f aca="false">O62</f>
        <v>-0.3</v>
      </c>
      <c r="J63" s="11" t="n">
        <f aca="false">D63*G63+E63*H63+I63</f>
        <v>-0.3</v>
      </c>
      <c r="K63" s="11" t="n">
        <f aca="false">IF(J63&gt;=0,1,0)</f>
        <v>0</v>
      </c>
      <c r="L63" s="10" t="n">
        <f aca="false">F63-K63</f>
        <v>0</v>
      </c>
      <c r="M63" s="11" t="n">
        <f aca="false">G63+$E$10*L63*D63</f>
        <v>0.2</v>
      </c>
      <c r="N63" s="11" t="n">
        <f aca="false">H63+$E$10*L63*E63</f>
        <v>0.1</v>
      </c>
      <c r="O63" s="11" t="n">
        <f aca="false">I63+$E$10*L63</f>
        <v>-0.3</v>
      </c>
    </row>
    <row r="64" customFormat="false" ht="18" hidden="false" customHeight="true" outlineLevel="0" collapsed="false">
      <c r="B64" s="10" t="n">
        <f aca="false">IF(C64=1,B63+1,B63)</f>
        <v>11</v>
      </c>
      <c r="C64" s="10" t="n">
        <f aca="false">IF(C63=4,1,C63+1)</f>
        <v>2</v>
      </c>
      <c r="D64" s="10" t="n">
        <f aca="false">INDEX($D$15:$D$18,C64)</f>
        <v>0</v>
      </c>
      <c r="E64" s="10" t="n">
        <f aca="false">INDEX($E$15:$E$18,C64)</f>
        <v>1</v>
      </c>
      <c r="F64" s="10" t="n">
        <f aca="false">INDEX($F$15:$F$18,C64)</f>
        <v>0</v>
      </c>
      <c r="G64" s="11" t="n">
        <f aca="false">M63</f>
        <v>0.2</v>
      </c>
      <c r="H64" s="11" t="n">
        <f aca="false">N63</f>
        <v>0.1</v>
      </c>
      <c r="I64" s="11" t="n">
        <f aca="false">O63</f>
        <v>-0.3</v>
      </c>
      <c r="J64" s="11" t="n">
        <f aca="false">D64*G64+E64*H64+I64</f>
        <v>-0.2</v>
      </c>
      <c r="K64" s="11" t="n">
        <f aca="false">IF(J64&gt;=0,1,0)</f>
        <v>0</v>
      </c>
      <c r="L64" s="10" t="n">
        <f aca="false">F64-K64</f>
        <v>0</v>
      </c>
      <c r="M64" s="11" t="n">
        <f aca="false">G64+$E$10*L64*D64</f>
        <v>0.2</v>
      </c>
      <c r="N64" s="11" t="n">
        <f aca="false">H64+$E$10*L64*E64</f>
        <v>0.1</v>
      </c>
      <c r="O64" s="11" t="n">
        <f aca="false">I64+$E$10*L64</f>
        <v>-0.3</v>
      </c>
    </row>
    <row r="65" customFormat="false" ht="18" hidden="false" customHeight="true" outlineLevel="0" collapsed="false">
      <c r="B65" s="10" t="n">
        <f aca="false">IF(C65=1,B64+1,B64)</f>
        <v>11</v>
      </c>
      <c r="C65" s="10" t="n">
        <f aca="false">IF(C64=4,1,C64+1)</f>
        <v>3</v>
      </c>
      <c r="D65" s="10" t="n">
        <f aca="false">INDEX($D$15:$D$18,C65)</f>
        <v>1</v>
      </c>
      <c r="E65" s="10" t="n">
        <f aca="false">INDEX($E$15:$E$18,C65)</f>
        <v>0</v>
      </c>
      <c r="F65" s="10" t="n">
        <f aca="false">INDEX($F$15:$F$18,C65)</f>
        <v>0</v>
      </c>
      <c r="G65" s="11" t="n">
        <f aca="false">M64</f>
        <v>0.2</v>
      </c>
      <c r="H65" s="11" t="n">
        <f aca="false">N64</f>
        <v>0.1</v>
      </c>
      <c r="I65" s="11" t="n">
        <f aca="false">O64</f>
        <v>-0.3</v>
      </c>
      <c r="J65" s="11" t="n">
        <f aca="false">D65*G65+E65*H65+I65</f>
        <v>-0.1</v>
      </c>
      <c r="K65" s="11" t="n">
        <f aca="false">IF(J65&gt;=0,1,0)</f>
        <v>0</v>
      </c>
      <c r="L65" s="10" t="n">
        <f aca="false">F65-K65</f>
        <v>0</v>
      </c>
      <c r="M65" s="11" t="n">
        <f aca="false">G65+$E$10*L65*D65</f>
        <v>0.2</v>
      </c>
      <c r="N65" s="11" t="n">
        <f aca="false">H65+$E$10*L65*E65</f>
        <v>0.1</v>
      </c>
      <c r="O65" s="11" t="n">
        <f aca="false">I65+$E$10*L65</f>
        <v>-0.3</v>
      </c>
    </row>
    <row r="66" customFormat="false" ht="18" hidden="false" customHeight="true" outlineLevel="0" collapsed="false">
      <c r="B66" s="10" t="n">
        <f aca="false">IF(C66=1,B65+1,B65)</f>
        <v>11</v>
      </c>
      <c r="C66" s="10" t="n">
        <f aca="false">IF(C65=4,1,C65+1)</f>
        <v>4</v>
      </c>
      <c r="D66" s="10" t="n">
        <f aca="false">INDEX($D$15:$D$18,C66)</f>
        <v>1</v>
      </c>
      <c r="E66" s="10" t="n">
        <f aca="false">INDEX($E$15:$E$18,C66)</f>
        <v>1</v>
      </c>
      <c r="F66" s="10" t="n">
        <f aca="false">INDEX($F$15:$F$18,C66)</f>
        <v>1</v>
      </c>
      <c r="G66" s="11" t="n">
        <f aca="false">M65</f>
        <v>0.2</v>
      </c>
      <c r="H66" s="11" t="n">
        <f aca="false">N65</f>
        <v>0.1</v>
      </c>
      <c r="I66" s="11" t="n">
        <f aca="false">O65</f>
        <v>-0.3</v>
      </c>
      <c r="J66" s="11" t="n">
        <f aca="false">D66*G66+E66*H66+I66</f>
        <v>0</v>
      </c>
      <c r="K66" s="11" t="n">
        <f aca="false">IF(J66&gt;=0,1,0)</f>
        <v>1</v>
      </c>
      <c r="L66" s="10" t="n">
        <f aca="false">F66-K66</f>
        <v>0</v>
      </c>
      <c r="M66" s="11" t="n">
        <f aca="false">G66+$E$10*L66*D66</f>
        <v>0.2</v>
      </c>
      <c r="N66" s="11" t="n">
        <f aca="false">H66+$E$10*L66*E66</f>
        <v>0.1</v>
      </c>
      <c r="O66" s="11" t="n">
        <f aca="false">I66+$E$10*L66</f>
        <v>-0.3</v>
      </c>
    </row>
    <row r="67" customFormat="false" ht="18" hidden="false" customHeight="true" outlineLevel="0" collapsed="false">
      <c r="B67" s="12" t="n">
        <f aca="false">IF(C67=1,B66+1,B66)</f>
        <v>12</v>
      </c>
      <c r="C67" s="12" t="n">
        <f aca="false">IF(C66=4,1,C66+1)</f>
        <v>1</v>
      </c>
      <c r="D67" s="12" t="n">
        <f aca="false">INDEX($D$15:$D$18,C67)</f>
        <v>0</v>
      </c>
      <c r="E67" s="12" t="n">
        <f aca="false">INDEX($E$15:$E$18,C67)</f>
        <v>0</v>
      </c>
      <c r="F67" s="12" t="n">
        <f aca="false">INDEX($F$15:$F$18,C67)</f>
        <v>0</v>
      </c>
      <c r="G67" s="13" t="n">
        <f aca="false">M66</f>
        <v>0.2</v>
      </c>
      <c r="H67" s="13" t="n">
        <f aca="false">N66</f>
        <v>0.1</v>
      </c>
      <c r="I67" s="13" t="n">
        <f aca="false">O66</f>
        <v>-0.3</v>
      </c>
      <c r="J67" s="13" t="n">
        <f aca="false">D67*G67+E67*H67+I67</f>
        <v>-0.3</v>
      </c>
      <c r="K67" s="13" t="n">
        <f aca="false">IF(J67&gt;=0,1,0)</f>
        <v>0</v>
      </c>
      <c r="L67" s="12" t="n">
        <f aca="false">F67-K67</f>
        <v>0</v>
      </c>
      <c r="M67" s="13" t="n">
        <f aca="false">G67+$E$10*L67*D67</f>
        <v>0.2</v>
      </c>
      <c r="N67" s="13" t="n">
        <f aca="false">H67+$E$10*L67*E67</f>
        <v>0.1</v>
      </c>
      <c r="O67" s="13" t="n">
        <f aca="false">I67+$E$10*L67</f>
        <v>-0.3</v>
      </c>
    </row>
    <row r="68" customFormat="false" ht="18" hidden="false" customHeight="true" outlineLevel="0" collapsed="false">
      <c r="B68" s="12" t="n">
        <f aca="false">IF(C68=1,B67+1,B67)</f>
        <v>12</v>
      </c>
      <c r="C68" s="12" t="n">
        <f aca="false">IF(C67=4,1,C67+1)</f>
        <v>2</v>
      </c>
      <c r="D68" s="12" t="n">
        <f aca="false">INDEX($D$15:$D$18,C68)</f>
        <v>0</v>
      </c>
      <c r="E68" s="12" t="n">
        <f aca="false">INDEX($E$15:$E$18,C68)</f>
        <v>1</v>
      </c>
      <c r="F68" s="12" t="n">
        <f aca="false">INDEX($F$15:$F$18,C68)</f>
        <v>0</v>
      </c>
      <c r="G68" s="13" t="n">
        <f aca="false">M67</f>
        <v>0.2</v>
      </c>
      <c r="H68" s="13" t="n">
        <f aca="false">N67</f>
        <v>0.1</v>
      </c>
      <c r="I68" s="13" t="n">
        <f aca="false">O67</f>
        <v>-0.3</v>
      </c>
      <c r="J68" s="13" t="n">
        <f aca="false">D68*G68+E68*H68+I68</f>
        <v>-0.2</v>
      </c>
      <c r="K68" s="13" t="n">
        <f aca="false">IF(J68&gt;=0,1,0)</f>
        <v>0</v>
      </c>
      <c r="L68" s="12" t="n">
        <f aca="false">F68-K68</f>
        <v>0</v>
      </c>
      <c r="M68" s="13" t="n">
        <f aca="false">G68+$E$10*L68*D68</f>
        <v>0.2</v>
      </c>
      <c r="N68" s="13" t="n">
        <f aca="false">H68+$E$10*L68*E68</f>
        <v>0.1</v>
      </c>
      <c r="O68" s="13" t="n">
        <f aca="false">I68+$E$10*L68</f>
        <v>-0.3</v>
      </c>
    </row>
    <row r="69" customFormat="false" ht="18" hidden="false" customHeight="true" outlineLevel="0" collapsed="false">
      <c r="B69" s="12" t="n">
        <f aca="false">IF(C69=1,B68+1,B68)</f>
        <v>12</v>
      </c>
      <c r="C69" s="12" t="n">
        <f aca="false">IF(C68=4,1,C68+1)</f>
        <v>3</v>
      </c>
      <c r="D69" s="12" t="n">
        <f aca="false">INDEX($D$15:$D$18,C69)</f>
        <v>1</v>
      </c>
      <c r="E69" s="12" t="n">
        <f aca="false">INDEX($E$15:$E$18,C69)</f>
        <v>0</v>
      </c>
      <c r="F69" s="12" t="n">
        <f aca="false">INDEX($F$15:$F$18,C69)</f>
        <v>0</v>
      </c>
      <c r="G69" s="13" t="n">
        <f aca="false">M68</f>
        <v>0.2</v>
      </c>
      <c r="H69" s="13" t="n">
        <f aca="false">N68</f>
        <v>0.1</v>
      </c>
      <c r="I69" s="13" t="n">
        <f aca="false">O68</f>
        <v>-0.3</v>
      </c>
      <c r="J69" s="13" t="n">
        <f aca="false">D69*G69+E69*H69+I69</f>
        <v>-0.1</v>
      </c>
      <c r="K69" s="13" t="n">
        <f aca="false">IF(J69&gt;=0,1,0)</f>
        <v>0</v>
      </c>
      <c r="L69" s="12" t="n">
        <f aca="false">F69-K69</f>
        <v>0</v>
      </c>
      <c r="M69" s="13" t="n">
        <f aca="false">G69+$E$10*L69*D69</f>
        <v>0.2</v>
      </c>
      <c r="N69" s="13" t="n">
        <f aca="false">H69+$E$10*L69*E69</f>
        <v>0.1</v>
      </c>
      <c r="O69" s="13" t="n">
        <f aca="false">I69+$E$10*L69</f>
        <v>-0.3</v>
      </c>
    </row>
    <row r="70" customFormat="false" ht="18" hidden="false" customHeight="true" outlineLevel="0" collapsed="false">
      <c r="B70" s="12" t="n">
        <f aca="false">IF(C70=1,B69+1,B69)</f>
        <v>12</v>
      </c>
      <c r="C70" s="12" t="n">
        <f aca="false">IF(C69=4,1,C69+1)</f>
        <v>4</v>
      </c>
      <c r="D70" s="12" t="n">
        <f aca="false">INDEX($D$15:$D$18,C70)</f>
        <v>1</v>
      </c>
      <c r="E70" s="12" t="n">
        <f aca="false">INDEX($E$15:$E$18,C70)</f>
        <v>1</v>
      </c>
      <c r="F70" s="12" t="n">
        <f aca="false">INDEX($F$15:$F$18,C70)</f>
        <v>1</v>
      </c>
      <c r="G70" s="13" t="n">
        <f aca="false">M69</f>
        <v>0.2</v>
      </c>
      <c r="H70" s="13" t="n">
        <f aca="false">N69</f>
        <v>0.1</v>
      </c>
      <c r="I70" s="13" t="n">
        <f aca="false">O69</f>
        <v>-0.3</v>
      </c>
      <c r="J70" s="13" t="n">
        <f aca="false">D70*G70+E70*H70+I70</f>
        <v>0</v>
      </c>
      <c r="K70" s="13" t="n">
        <f aca="false">IF(J70&gt;=0,1,0)</f>
        <v>1</v>
      </c>
      <c r="L70" s="12" t="n">
        <f aca="false">F70-K70</f>
        <v>0</v>
      </c>
      <c r="M70" s="13" t="n">
        <f aca="false">G70+$E$10*L70*D70</f>
        <v>0.2</v>
      </c>
      <c r="N70" s="13" t="n">
        <f aca="false">H70+$E$10*L70*E70</f>
        <v>0.1</v>
      </c>
      <c r="O70" s="13" t="n">
        <f aca="false">I70+$E$10*L70</f>
        <v>-0.3</v>
      </c>
    </row>
    <row r="71" customFormat="false" ht="18" hidden="false" customHeight="true" outlineLevel="0" collapsed="false">
      <c r="B71" s="10" t="n">
        <f aca="false">IF(C71=1,B70+1,B70)</f>
        <v>13</v>
      </c>
      <c r="C71" s="10" t="n">
        <f aca="false">IF(C70=4,1,C70+1)</f>
        <v>1</v>
      </c>
      <c r="D71" s="10" t="n">
        <f aca="false">INDEX($D$15:$D$18,C71)</f>
        <v>0</v>
      </c>
      <c r="E71" s="10" t="n">
        <f aca="false">INDEX($E$15:$E$18,C71)</f>
        <v>0</v>
      </c>
      <c r="F71" s="10" t="n">
        <f aca="false">INDEX($F$15:$F$18,C71)</f>
        <v>0</v>
      </c>
      <c r="G71" s="11" t="n">
        <f aca="false">M70</f>
        <v>0.2</v>
      </c>
      <c r="H71" s="11" t="n">
        <f aca="false">N70</f>
        <v>0.1</v>
      </c>
      <c r="I71" s="11" t="n">
        <f aca="false">O70</f>
        <v>-0.3</v>
      </c>
      <c r="J71" s="11" t="n">
        <f aca="false">D71*G71+E71*H71+I71</f>
        <v>-0.3</v>
      </c>
      <c r="K71" s="11" t="n">
        <f aca="false">IF(J71&gt;=0,1,0)</f>
        <v>0</v>
      </c>
      <c r="L71" s="10" t="n">
        <f aca="false">F71-K71</f>
        <v>0</v>
      </c>
      <c r="M71" s="11" t="n">
        <f aca="false">G71+$E$10*L71*D71</f>
        <v>0.2</v>
      </c>
      <c r="N71" s="11" t="n">
        <f aca="false">H71+$E$10*L71*E71</f>
        <v>0.1</v>
      </c>
      <c r="O71" s="11" t="n">
        <f aca="false">I71+$E$10*L71</f>
        <v>-0.3</v>
      </c>
    </row>
    <row r="72" customFormat="false" ht="18" hidden="false" customHeight="true" outlineLevel="0" collapsed="false">
      <c r="B72" s="10" t="n">
        <f aca="false">IF(C72=1,B71+1,B71)</f>
        <v>13</v>
      </c>
      <c r="C72" s="10" t="n">
        <f aca="false">IF(C71=4,1,C71+1)</f>
        <v>2</v>
      </c>
      <c r="D72" s="10" t="n">
        <f aca="false">INDEX($D$15:$D$18,C72)</f>
        <v>0</v>
      </c>
      <c r="E72" s="10" t="n">
        <f aca="false">INDEX($E$15:$E$18,C72)</f>
        <v>1</v>
      </c>
      <c r="F72" s="10" t="n">
        <f aca="false">INDEX($F$15:$F$18,C72)</f>
        <v>0</v>
      </c>
      <c r="G72" s="11" t="n">
        <f aca="false">M71</f>
        <v>0.2</v>
      </c>
      <c r="H72" s="11" t="n">
        <f aca="false">N71</f>
        <v>0.1</v>
      </c>
      <c r="I72" s="11" t="n">
        <f aca="false">O71</f>
        <v>-0.3</v>
      </c>
      <c r="J72" s="11" t="n">
        <f aca="false">D72*G72+E72*H72+I72</f>
        <v>-0.2</v>
      </c>
      <c r="K72" s="11" t="n">
        <f aca="false">IF(J72&gt;=0,1,0)</f>
        <v>0</v>
      </c>
      <c r="L72" s="10" t="n">
        <f aca="false">F72-K72</f>
        <v>0</v>
      </c>
      <c r="M72" s="11" t="n">
        <f aca="false">G72+$E$10*L72*D72</f>
        <v>0.2</v>
      </c>
      <c r="N72" s="11" t="n">
        <f aca="false">H72+$E$10*L72*E72</f>
        <v>0.1</v>
      </c>
      <c r="O72" s="11" t="n">
        <f aca="false">I72+$E$10*L72</f>
        <v>-0.3</v>
      </c>
    </row>
    <row r="73" customFormat="false" ht="18" hidden="false" customHeight="true" outlineLevel="0" collapsed="false">
      <c r="B73" s="10" t="n">
        <f aca="false">IF(C73=1,B72+1,B72)</f>
        <v>13</v>
      </c>
      <c r="C73" s="10" t="n">
        <f aca="false">IF(C72=4,1,C72+1)</f>
        <v>3</v>
      </c>
      <c r="D73" s="10" t="n">
        <f aca="false">INDEX($D$15:$D$18,C73)</f>
        <v>1</v>
      </c>
      <c r="E73" s="10" t="n">
        <f aca="false">INDEX($E$15:$E$18,C73)</f>
        <v>0</v>
      </c>
      <c r="F73" s="10" t="n">
        <f aca="false">INDEX($F$15:$F$18,C73)</f>
        <v>0</v>
      </c>
      <c r="G73" s="11" t="n">
        <f aca="false">M72</f>
        <v>0.2</v>
      </c>
      <c r="H73" s="11" t="n">
        <f aca="false">N72</f>
        <v>0.1</v>
      </c>
      <c r="I73" s="11" t="n">
        <f aca="false">O72</f>
        <v>-0.3</v>
      </c>
      <c r="J73" s="11" t="n">
        <f aca="false">D73*G73+E73*H73+I73</f>
        <v>-0.1</v>
      </c>
      <c r="K73" s="11" t="n">
        <f aca="false">IF(J73&gt;=0,1,0)</f>
        <v>0</v>
      </c>
      <c r="L73" s="10" t="n">
        <f aca="false">F73-K73</f>
        <v>0</v>
      </c>
      <c r="M73" s="11" t="n">
        <f aca="false">G73+$E$10*L73*D73</f>
        <v>0.2</v>
      </c>
      <c r="N73" s="11" t="n">
        <f aca="false">H73+$E$10*L73*E73</f>
        <v>0.1</v>
      </c>
      <c r="O73" s="11" t="n">
        <f aca="false">I73+$E$10*L73</f>
        <v>-0.3</v>
      </c>
    </row>
    <row r="74" customFormat="false" ht="18" hidden="false" customHeight="true" outlineLevel="0" collapsed="false">
      <c r="B74" s="10" t="n">
        <f aca="false">IF(C74=1,B73+1,B73)</f>
        <v>13</v>
      </c>
      <c r="C74" s="10" t="n">
        <f aca="false">IF(C73=4,1,C73+1)</f>
        <v>4</v>
      </c>
      <c r="D74" s="10" t="n">
        <f aca="false">INDEX($D$15:$D$18,C74)</f>
        <v>1</v>
      </c>
      <c r="E74" s="10" t="n">
        <f aca="false">INDEX($E$15:$E$18,C74)</f>
        <v>1</v>
      </c>
      <c r="F74" s="10" t="n">
        <f aca="false">INDEX($F$15:$F$18,C74)</f>
        <v>1</v>
      </c>
      <c r="G74" s="11" t="n">
        <f aca="false">M73</f>
        <v>0.2</v>
      </c>
      <c r="H74" s="11" t="n">
        <f aca="false">N73</f>
        <v>0.1</v>
      </c>
      <c r="I74" s="11" t="n">
        <f aca="false">O73</f>
        <v>-0.3</v>
      </c>
      <c r="J74" s="11" t="n">
        <f aca="false">D74*G74+E74*H74+I74</f>
        <v>0</v>
      </c>
      <c r="K74" s="11" t="n">
        <f aca="false">IF(J74&gt;=0,1,0)</f>
        <v>1</v>
      </c>
      <c r="L74" s="10" t="n">
        <f aca="false">F74-K74</f>
        <v>0</v>
      </c>
      <c r="M74" s="11" t="n">
        <f aca="false">G74+$E$10*L74*D74</f>
        <v>0.2</v>
      </c>
      <c r="N74" s="11" t="n">
        <f aca="false">H74+$E$10*L74*E74</f>
        <v>0.1</v>
      </c>
      <c r="O74" s="11" t="n">
        <f aca="false">I74+$E$10*L74</f>
        <v>-0.3</v>
      </c>
    </row>
    <row r="75" customFormat="false" ht="18" hidden="false" customHeight="true" outlineLevel="0" collapsed="false">
      <c r="B75" s="12" t="n">
        <f aca="false">IF(C75=1,B74+1,B74)</f>
        <v>14</v>
      </c>
      <c r="C75" s="12" t="n">
        <f aca="false">IF(C74=4,1,C74+1)</f>
        <v>1</v>
      </c>
      <c r="D75" s="12" t="n">
        <f aca="false">INDEX($D$15:$D$18,C75)</f>
        <v>0</v>
      </c>
      <c r="E75" s="12" t="n">
        <f aca="false">INDEX($E$15:$E$18,C75)</f>
        <v>0</v>
      </c>
      <c r="F75" s="12" t="n">
        <f aca="false">INDEX($F$15:$F$18,C75)</f>
        <v>0</v>
      </c>
      <c r="G75" s="13" t="n">
        <f aca="false">M74</f>
        <v>0.2</v>
      </c>
      <c r="H75" s="13" t="n">
        <f aca="false">N74</f>
        <v>0.1</v>
      </c>
      <c r="I75" s="13" t="n">
        <f aca="false">O74</f>
        <v>-0.3</v>
      </c>
      <c r="J75" s="13" t="n">
        <f aca="false">D75*G75+E75*H75+I75</f>
        <v>-0.3</v>
      </c>
      <c r="K75" s="13" t="n">
        <f aca="false">IF(J75&gt;=0,1,0)</f>
        <v>0</v>
      </c>
      <c r="L75" s="12" t="n">
        <f aca="false">F75-K75</f>
        <v>0</v>
      </c>
      <c r="M75" s="13" t="n">
        <f aca="false">G75+$E$10*L75*D75</f>
        <v>0.2</v>
      </c>
      <c r="N75" s="13" t="n">
        <f aca="false">H75+$E$10*L75*E75</f>
        <v>0.1</v>
      </c>
      <c r="O75" s="13" t="n">
        <f aca="false">I75+$E$10*L75</f>
        <v>-0.3</v>
      </c>
    </row>
    <row r="76" customFormat="false" ht="18" hidden="false" customHeight="true" outlineLevel="0" collapsed="false">
      <c r="B76" s="12" t="n">
        <f aca="false">IF(C76=1,B75+1,B75)</f>
        <v>14</v>
      </c>
      <c r="C76" s="12" t="n">
        <f aca="false">IF(C75=4,1,C75+1)</f>
        <v>2</v>
      </c>
      <c r="D76" s="12" t="n">
        <f aca="false">INDEX($D$15:$D$18,C76)</f>
        <v>0</v>
      </c>
      <c r="E76" s="12" t="n">
        <f aca="false">INDEX($E$15:$E$18,C76)</f>
        <v>1</v>
      </c>
      <c r="F76" s="12" t="n">
        <f aca="false">INDEX($F$15:$F$18,C76)</f>
        <v>0</v>
      </c>
      <c r="G76" s="13" t="n">
        <f aca="false">M75</f>
        <v>0.2</v>
      </c>
      <c r="H76" s="13" t="n">
        <f aca="false">N75</f>
        <v>0.1</v>
      </c>
      <c r="I76" s="13" t="n">
        <f aca="false">O75</f>
        <v>-0.3</v>
      </c>
      <c r="J76" s="13" t="n">
        <f aca="false">D76*G76+E76*H76+I76</f>
        <v>-0.2</v>
      </c>
      <c r="K76" s="13" t="n">
        <f aca="false">IF(J76&gt;=0,1,0)</f>
        <v>0</v>
      </c>
      <c r="L76" s="12" t="n">
        <f aca="false">F76-K76</f>
        <v>0</v>
      </c>
      <c r="M76" s="13" t="n">
        <f aca="false">G76+$E$10*L76*D76</f>
        <v>0.2</v>
      </c>
      <c r="N76" s="13" t="n">
        <f aca="false">H76+$E$10*L76*E76</f>
        <v>0.1</v>
      </c>
      <c r="O76" s="13" t="n">
        <f aca="false">I76+$E$10*L76</f>
        <v>-0.3</v>
      </c>
    </row>
    <row r="77" customFormat="false" ht="18" hidden="false" customHeight="true" outlineLevel="0" collapsed="false">
      <c r="B77" s="12" t="n">
        <f aca="false">IF(C77=1,B76+1,B76)</f>
        <v>14</v>
      </c>
      <c r="C77" s="12" t="n">
        <f aca="false">IF(C76=4,1,C76+1)</f>
        <v>3</v>
      </c>
      <c r="D77" s="12" t="n">
        <f aca="false">INDEX($D$15:$D$18,C77)</f>
        <v>1</v>
      </c>
      <c r="E77" s="12" t="n">
        <f aca="false">INDEX($E$15:$E$18,C77)</f>
        <v>0</v>
      </c>
      <c r="F77" s="12" t="n">
        <f aca="false">INDEX($F$15:$F$18,C77)</f>
        <v>0</v>
      </c>
      <c r="G77" s="13" t="n">
        <f aca="false">M76</f>
        <v>0.2</v>
      </c>
      <c r="H77" s="13" t="n">
        <f aca="false">N76</f>
        <v>0.1</v>
      </c>
      <c r="I77" s="13" t="n">
        <f aca="false">O76</f>
        <v>-0.3</v>
      </c>
      <c r="J77" s="13" t="n">
        <f aca="false">D77*G77+E77*H77+I77</f>
        <v>-0.1</v>
      </c>
      <c r="K77" s="13" t="n">
        <f aca="false">IF(J77&gt;=0,1,0)</f>
        <v>0</v>
      </c>
      <c r="L77" s="12" t="n">
        <f aca="false">F77-K77</f>
        <v>0</v>
      </c>
      <c r="M77" s="13" t="n">
        <f aca="false">G77+$E$10*L77*D77</f>
        <v>0.2</v>
      </c>
      <c r="N77" s="13" t="n">
        <f aca="false">H77+$E$10*L77*E77</f>
        <v>0.1</v>
      </c>
      <c r="O77" s="13" t="n">
        <f aca="false">I77+$E$10*L77</f>
        <v>-0.3</v>
      </c>
    </row>
    <row r="78" customFormat="false" ht="18" hidden="false" customHeight="true" outlineLevel="0" collapsed="false">
      <c r="B78" s="12" t="n">
        <f aca="false">IF(C78=1,B77+1,B77)</f>
        <v>14</v>
      </c>
      <c r="C78" s="12" t="n">
        <f aca="false">IF(C77=4,1,C77+1)</f>
        <v>4</v>
      </c>
      <c r="D78" s="12" t="n">
        <f aca="false">INDEX($D$15:$D$18,C78)</f>
        <v>1</v>
      </c>
      <c r="E78" s="12" t="n">
        <f aca="false">INDEX($E$15:$E$18,C78)</f>
        <v>1</v>
      </c>
      <c r="F78" s="12" t="n">
        <f aca="false">INDEX($F$15:$F$18,C78)</f>
        <v>1</v>
      </c>
      <c r="G78" s="13" t="n">
        <f aca="false">M77</f>
        <v>0.2</v>
      </c>
      <c r="H78" s="13" t="n">
        <f aca="false">N77</f>
        <v>0.1</v>
      </c>
      <c r="I78" s="13" t="n">
        <f aca="false">O77</f>
        <v>-0.3</v>
      </c>
      <c r="J78" s="13" t="n">
        <f aca="false">D78*G78+E78*H78+I78</f>
        <v>0</v>
      </c>
      <c r="K78" s="13" t="n">
        <f aca="false">IF(J78&gt;=0,1,0)</f>
        <v>1</v>
      </c>
      <c r="L78" s="12" t="n">
        <f aca="false">F78-K78</f>
        <v>0</v>
      </c>
      <c r="M78" s="13" t="n">
        <f aca="false">G78+$E$10*L78*D78</f>
        <v>0.2</v>
      </c>
      <c r="N78" s="13" t="n">
        <f aca="false">H78+$E$10*L78*E78</f>
        <v>0.1</v>
      </c>
      <c r="O78" s="13" t="n">
        <f aca="false">I78+$E$10*L78</f>
        <v>-0.3</v>
      </c>
    </row>
    <row r="79" customFormat="false" ht="18" hidden="false" customHeight="true" outlineLevel="0" collapsed="false">
      <c r="B79" s="10" t="n">
        <f aca="false">IF(C79=1,B78+1,B78)</f>
        <v>15</v>
      </c>
      <c r="C79" s="10" t="n">
        <f aca="false">IF(C78=4,1,C78+1)</f>
        <v>1</v>
      </c>
      <c r="D79" s="10" t="n">
        <f aca="false">INDEX($D$15:$D$18,C79)</f>
        <v>0</v>
      </c>
      <c r="E79" s="10" t="n">
        <f aca="false">INDEX($E$15:$E$18,C79)</f>
        <v>0</v>
      </c>
      <c r="F79" s="10" t="n">
        <f aca="false">INDEX($F$15:$F$18,C79)</f>
        <v>0</v>
      </c>
      <c r="G79" s="11" t="n">
        <f aca="false">M78</f>
        <v>0.2</v>
      </c>
      <c r="H79" s="11" t="n">
        <f aca="false">N78</f>
        <v>0.1</v>
      </c>
      <c r="I79" s="11" t="n">
        <f aca="false">O78</f>
        <v>-0.3</v>
      </c>
      <c r="J79" s="11" t="n">
        <f aca="false">D79*G79+E79*H79+I79</f>
        <v>-0.3</v>
      </c>
      <c r="K79" s="11" t="n">
        <f aca="false">IF(J79&gt;=0,1,0)</f>
        <v>0</v>
      </c>
      <c r="L79" s="10" t="n">
        <f aca="false">F79-K79</f>
        <v>0</v>
      </c>
      <c r="M79" s="11" t="n">
        <f aca="false">G79+$E$10*L79*D79</f>
        <v>0.2</v>
      </c>
      <c r="N79" s="11" t="n">
        <f aca="false">H79+$E$10*L79*E79</f>
        <v>0.1</v>
      </c>
      <c r="O79" s="11" t="n">
        <f aca="false">I79+$E$10*L79</f>
        <v>-0.3</v>
      </c>
    </row>
    <row r="80" customFormat="false" ht="18" hidden="false" customHeight="true" outlineLevel="0" collapsed="false">
      <c r="B80" s="10" t="n">
        <f aca="false">IF(C80=1,B79+1,B79)</f>
        <v>15</v>
      </c>
      <c r="C80" s="10" t="n">
        <f aca="false">IF(C79=4,1,C79+1)</f>
        <v>2</v>
      </c>
      <c r="D80" s="10" t="n">
        <f aca="false">INDEX($D$15:$D$18,C80)</f>
        <v>0</v>
      </c>
      <c r="E80" s="10" t="n">
        <f aca="false">INDEX($E$15:$E$18,C80)</f>
        <v>1</v>
      </c>
      <c r="F80" s="10" t="n">
        <f aca="false">INDEX($F$15:$F$18,C80)</f>
        <v>0</v>
      </c>
      <c r="G80" s="11" t="n">
        <f aca="false">M79</f>
        <v>0.2</v>
      </c>
      <c r="H80" s="11" t="n">
        <f aca="false">N79</f>
        <v>0.1</v>
      </c>
      <c r="I80" s="11" t="n">
        <f aca="false">O79</f>
        <v>-0.3</v>
      </c>
      <c r="J80" s="11" t="n">
        <f aca="false">D80*G80+E80*H80+I80</f>
        <v>-0.2</v>
      </c>
      <c r="K80" s="11" t="n">
        <f aca="false">IF(J80&gt;=0,1,0)</f>
        <v>0</v>
      </c>
      <c r="L80" s="10" t="n">
        <f aca="false">F80-K80</f>
        <v>0</v>
      </c>
      <c r="M80" s="11" t="n">
        <f aca="false">G80+$E$10*L80*D80</f>
        <v>0.2</v>
      </c>
      <c r="N80" s="11" t="n">
        <f aca="false">H80+$E$10*L80*E80</f>
        <v>0.1</v>
      </c>
      <c r="O80" s="11" t="n">
        <f aca="false">I80+$E$10*L80</f>
        <v>-0.3</v>
      </c>
    </row>
    <row r="81" customFormat="false" ht="18" hidden="false" customHeight="true" outlineLevel="0" collapsed="false">
      <c r="B81" s="10" t="n">
        <f aca="false">IF(C81=1,B80+1,B80)</f>
        <v>15</v>
      </c>
      <c r="C81" s="10" t="n">
        <f aca="false">IF(C80=4,1,C80+1)</f>
        <v>3</v>
      </c>
      <c r="D81" s="10" t="n">
        <f aca="false">INDEX($D$15:$D$18,C81)</f>
        <v>1</v>
      </c>
      <c r="E81" s="10" t="n">
        <f aca="false">INDEX($E$15:$E$18,C81)</f>
        <v>0</v>
      </c>
      <c r="F81" s="10" t="n">
        <f aca="false">INDEX($F$15:$F$18,C81)</f>
        <v>0</v>
      </c>
      <c r="G81" s="11" t="n">
        <f aca="false">M80</f>
        <v>0.2</v>
      </c>
      <c r="H81" s="11" t="n">
        <f aca="false">N80</f>
        <v>0.1</v>
      </c>
      <c r="I81" s="11" t="n">
        <f aca="false">O80</f>
        <v>-0.3</v>
      </c>
      <c r="J81" s="11" t="n">
        <f aca="false">D81*G81+E81*H81+I81</f>
        <v>-0.1</v>
      </c>
      <c r="K81" s="11" t="n">
        <f aca="false">IF(J81&gt;=0,1,0)</f>
        <v>0</v>
      </c>
      <c r="L81" s="10" t="n">
        <f aca="false">F81-K81</f>
        <v>0</v>
      </c>
      <c r="M81" s="11" t="n">
        <f aca="false">G81+$E$10*L81*D81</f>
        <v>0.2</v>
      </c>
      <c r="N81" s="11" t="n">
        <f aca="false">H81+$E$10*L81*E81</f>
        <v>0.1</v>
      </c>
      <c r="O81" s="11" t="n">
        <f aca="false">I81+$E$10*L81</f>
        <v>-0.3</v>
      </c>
    </row>
    <row r="82" customFormat="false" ht="18" hidden="false" customHeight="true" outlineLevel="0" collapsed="false">
      <c r="B82" s="10" t="n">
        <f aca="false">IF(C82=1,B81+1,B81)</f>
        <v>15</v>
      </c>
      <c r="C82" s="10" t="n">
        <f aca="false">IF(C81=4,1,C81+1)</f>
        <v>4</v>
      </c>
      <c r="D82" s="10" t="n">
        <f aca="false">INDEX($D$15:$D$18,C82)</f>
        <v>1</v>
      </c>
      <c r="E82" s="10" t="n">
        <f aca="false">INDEX($E$15:$E$18,C82)</f>
        <v>1</v>
      </c>
      <c r="F82" s="10" t="n">
        <f aca="false">INDEX($F$15:$F$18,C82)</f>
        <v>1</v>
      </c>
      <c r="G82" s="11" t="n">
        <f aca="false">M81</f>
        <v>0.2</v>
      </c>
      <c r="H82" s="11" t="n">
        <f aca="false">N81</f>
        <v>0.1</v>
      </c>
      <c r="I82" s="11" t="n">
        <f aca="false">O81</f>
        <v>-0.3</v>
      </c>
      <c r="J82" s="11" t="n">
        <f aca="false">D82*G82+E82*H82+I82</f>
        <v>0</v>
      </c>
      <c r="K82" s="11" t="n">
        <f aca="false">IF(J82&gt;=0,1,0)</f>
        <v>1</v>
      </c>
      <c r="L82" s="10" t="n">
        <f aca="false">F82-K82</f>
        <v>0</v>
      </c>
      <c r="M82" s="11" t="n">
        <f aca="false">G82+$E$10*L82*D82</f>
        <v>0.2</v>
      </c>
      <c r="N82" s="11" t="n">
        <f aca="false">H82+$E$10*L82*E82</f>
        <v>0.1</v>
      </c>
      <c r="O82" s="11" t="n">
        <f aca="false">I82+$E$10*L82</f>
        <v>-0.3</v>
      </c>
    </row>
    <row r="83" customFormat="false" ht="51.75" hidden="false" customHeight="true" outlineLevel="0" collapsed="false">
      <c r="B83" s="3" t="s">
        <v>36</v>
      </c>
      <c r="C83" s="3"/>
      <c r="D83" s="3"/>
      <c r="E83" s="3"/>
      <c r="F83" s="3"/>
      <c r="G83" s="3"/>
      <c r="H83" s="3"/>
      <c r="I83" s="3"/>
      <c r="J83" s="3"/>
      <c r="K83" s="3"/>
      <c r="L83" s="3"/>
      <c r="M83" s="3"/>
      <c r="N83" s="3"/>
      <c r="O83" s="3"/>
    </row>
    <row r="85" customFormat="false" ht="21.75" hidden="false" customHeight="true" outlineLevel="0" collapsed="false">
      <c r="B85" s="4" t="s">
        <v>37</v>
      </c>
      <c r="C85" s="4"/>
      <c r="D85" s="4"/>
      <c r="E85" s="4"/>
      <c r="F85" s="4"/>
      <c r="G85" s="4"/>
      <c r="H85" s="4"/>
      <c r="I85" s="4"/>
      <c r="J85" s="4"/>
      <c r="K85" s="4"/>
      <c r="L85" s="4"/>
      <c r="M85" s="4"/>
      <c r="N85" s="4"/>
      <c r="O85" s="4"/>
    </row>
    <row r="86" customFormat="false" ht="19.5" hidden="false" customHeight="true" outlineLevel="0" collapsed="false">
      <c r="B86" s="14" t="s">
        <v>38</v>
      </c>
      <c r="C86" s="14"/>
      <c r="D86" s="14"/>
      <c r="E86" s="15" t="n">
        <f aca="false">M82</f>
        <v>0.2</v>
      </c>
      <c r="F86" s="3" t="s">
        <v>39</v>
      </c>
      <c r="G86" s="3"/>
      <c r="H86" s="3"/>
      <c r="I86" s="3"/>
      <c r="J86" s="3"/>
      <c r="K86" s="3"/>
      <c r="L86" s="3"/>
      <c r="M86" s="3"/>
      <c r="N86" s="3"/>
      <c r="O86" s="3"/>
    </row>
    <row r="87" customFormat="false" ht="19.5" hidden="false" customHeight="true" outlineLevel="0" collapsed="false">
      <c r="B87" s="14" t="s">
        <v>40</v>
      </c>
      <c r="C87" s="14"/>
      <c r="D87" s="14"/>
      <c r="E87" s="15" t="n">
        <f aca="false">N82</f>
        <v>0.1</v>
      </c>
      <c r="F87" s="3" t="s">
        <v>41</v>
      </c>
      <c r="G87" s="3"/>
      <c r="H87" s="3"/>
      <c r="I87" s="3"/>
      <c r="J87" s="3"/>
      <c r="K87" s="3"/>
      <c r="L87" s="3"/>
      <c r="M87" s="3"/>
      <c r="N87" s="3"/>
      <c r="O87" s="3"/>
    </row>
    <row r="88" customFormat="false" ht="19.5" hidden="false" customHeight="true" outlineLevel="0" collapsed="false">
      <c r="B88" s="14" t="s">
        <v>42</v>
      </c>
      <c r="C88" s="14"/>
      <c r="D88" s="14"/>
      <c r="E88" s="15" t="n">
        <f aca="false">O82</f>
        <v>-0.3</v>
      </c>
      <c r="F88" s="3" t="s">
        <v>43</v>
      </c>
      <c r="G88" s="3"/>
      <c r="H88" s="3"/>
      <c r="I88" s="3"/>
      <c r="J88" s="3"/>
      <c r="K88" s="3"/>
      <c r="L88" s="3"/>
      <c r="M88" s="3"/>
      <c r="N88" s="3"/>
      <c r="O88" s="3"/>
    </row>
    <row r="89" customFormat="false" ht="19.5" hidden="false" customHeight="true" outlineLevel="0" collapsed="false">
      <c r="B89" s="14" t="s">
        <v>10</v>
      </c>
      <c r="C89" s="14"/>
      <c r="D89" s="14"/>
      <c r="E89" s="15" t="n">
        <f aca="false">$E$10</f>
        <v>0.1</v>
      </c>
      <c r="F89" s="3" t="s">
        <v>44</v>
      </c>
      <c r="G89" s="3"/>
      <c r="H89" s="3"/>
      <c r="I89" s="3"/>
      <c r="J89" s="3"/>
      <c r="K89" s="3"/>
      <c r="L89" s="3"/>
      <c r="M89" s="3"/>
      <c r="N89" s="3"/>
      <c r="O89" s="3"/>
    </row>
    <row r="90" customFormat="false" ht="19.5" hidden="false" customHeight="true" outlineLevel="0" collapsed="false">
      <c r="B90" s="14" t="s">
        <v>45</v>
      </c>
      <c r="C90" s="14"/>
      <c r="D90" s="14"/>
      <c r="E90" s="16" t="n">
        <f aca="false">COUNT($C$23:$C$82)</f>
        <v>60</v>
      </c>
      <c r="F90" s="3" t="s">
        <v>46</v>
      </c>
      <c r="G90" s="3"/>
      <c r="H90" s="3"/>
      <c r="I90" s="3"/>
      <c r="J90" s="3"/>
      <c r="K90" s="3"/>
      <c r="L90" s="3"/>
      <c r="M90" s="3"/>
      <c r="N90" s="3"/>
      <c r="O90" s="3"/>
    </row>
    <row r="91" customFormat="false" ht="19.5" hidden="false" customHeight="true" outlineLevel="0" collapsed="false">
      <c r="B91" s="14" t="s">
        <v>47</v>
      </c>
      <c r="C91" s="14"/>
      <c r="D91" s="14"/>
      <c r="E91" s="16" t="n">
        <f aca="false">MAX($B$23:$B$82)</f>
        <v>15</v>
      </c>
      <c r="F91" s="3" t="s">
        <v>48</v>
      </c>
      <c r="G91" s="3"/>
      <c r="H91" s="3"/>
      <c r="I91" s="3"/>
      <c r="J91" s="3"/>
      <c r="K91" s="3"/>
      <c r="L91" s="3"/>
      <c r="M91" s="3"/>
      <c r="N91" s="3"/>
      <c r="O91" s="3"/>
    </row>
    <row r="92" customFormat="false" ht="19.5" hidden="false" customHeight="true" outlineLevel="0" collapsed="false">
      <c r="B92" s="14" t="s">
        <v>49</v>
      </c>
      <c r="C92" s="14"/>
      <c r="D92" s="14"/>
      <c r="E92" s="16" t="n">
        <f aca="false">SUMPRODUCT(($H$100:$H$103=$F$100:$F$103)*1)</f>
        <v>4</v>
      </c>
      <c r="F92" s="3" t="s">
        <v>50</v>
      </c>
      <c r="G92" s="3"/>
      <c r="H92" s="3"/>
      <c r="I92" s="3"/>
      <c r="J92" s="3"/>
      <c r="K92" s="3"/>
      <c r="L92" s="3"/>
      <c r="M92" s="3"/>
      <c r="N92" s="3"/>
      <c r="O92" s="3"/>
    </row>
    <row r="93" customFormat="false" ht="19.5" hidden="false" customHeight="true" outlineLevel="0" collapsed="false">
      <c r="B93" s="14" t="s">
        <v>51</v>
      </c>
      <c r="C93" s="14"/>
      <c r="D93" s="14"/>
      <c r="E93" s="16" t="n">
        <f aca="false">SUMPRODUCT(($H$100:$H$103&lt;&gt;$F$100:$F$103)*1)</f>
        <v>0</v>
      </c>
      <c r="F93" s="3" t="s">
        <v>52</v>
      </c>
      <c r="G93" s="3"/>
      <c r="H93" s="3"/>
      <c r="I93" s="3"/>
      <c r="J93" s="3"/>
      <c r="K93" s="3"/>
      <c r="L93" s="3"/>
      <c r="M93" s="3"/>
      <c r="N93" s="3"/>
      <c r="O93" s="3"/>
    </row>
    <row r="94" customFormat="false" ht="19.5" hidden="false" customHeight="true" outlineLevel="0" collapsed="false">
      <c r="B94" s="14" t="s">
        <v>53</v>
      </c>
      <c r="C94" s="14"/>
      <c r="D94" s="14"/>
      <c r="E94" s="17" t="n">
        <f aca="false">IF(COUNT($F$100:$F$103)=0,0,$E$92/COUNT($F$100:$F$103))</f>
        <v>1</v>
      </c>
      <c r="F94" s="3" t="s">
        <v>54</v>
      </c>
      <c r="G94" s="3"/>
      <c r="H94" s="3"/>
      <c r="I94" s="3"/>
      <c r="J94" s="3"/>
      <c r="K94" s="3"/>
      <c r="L94" s="3"/>
      <c r="M94" s="3"/>
      <c r="N94" s="3"/>
      <c r="O94" s="3"/>
    </row>
    <row r="95" customFormat="false" ht="19.5" hidden="false" customHeight="true" outlineLevel="0" collapsed="false">
      <c r="B95" s="14" t="s">
        <v>55</v>
      </c>
      <c r="C95" s="14"/>
      <c r="D95" s="14"/>
      <c r="E95" s="16" t="n">
        <f aca="false">SUMPRODUCT(($B$23:$B$82=$E$91)*($L$23:$L$82&lt;&gt;0)*1)</f>
        <v>0</v>
      </c>
      <c r="F95" s="3" t="s">
        <v>56</v>
      </c>
      <c r="G95" s="3"/>
      <c r="H95" s="3"/>
      <c r="I95" s="3"/>
      <c r="J95" s="3"/>
      <c r="K95" s="3"/>
      <c r="L95" s="3"/>
      <c r="M95" s="3"/>
      <c r="N95" s="3"/>
      <c r="O95" s="3"/>
    </row>
    <row r="96" customFormat="false" ht="24" hidden="false" customHeight="true" outlineLevel="0" collapsed="false">
      <c r="B96" s="14" t="s">
        <v>57</v>
      </c>
      <c r="C96" s="14"/>
      <c r="D96" s="14"/>
      <c r="E96" s="18" t="str">
        <f aca="false">IF($E$93=0,"Clasificación correcta: SÍ","Clasificación correcta: NO")</f>
        <v>Clasificación correcta: SÍ</v>
      </c>
      <c r="F96" s="18"/>
      <c r="G96" s="18"/>
      <c r="H96" s="18"/>
      <c r="I96" s="18"/>
      <c r="J96" s="18"/>
      <c r="K96" s="3" t="s">
        <v>58</v>
      </c>
      <c r="L96" s="3"/>
      <c r="M96" s="3"/>
      <c r="N96" s="3"/>
      <c r="O96" s="3"/>
    </row>
    <row r="98" customFormat="false" ht="21.75" hidden="false" customHeight="true" outlineLevel="0" collapsed="false">
      <c r="B98" s="4" t="s">
        <v>59</v>
      </c>
      <c r="C98" s="4"/>
      <c r="D98" s="4"/>
      <c r="E98" s="4"/>
      <c r="F98" s="4"/>
      <c r="G98" s="4"/>
      <c r="H98" s="4"/>
      <c r="I98" s="4"/>
      <c r="J98" s="4"/>
      <c r="K98" s="4"/>
      <c r="L98" s="4"/>
      <c r="M98" s="4"/>
      <c r="N98" s="4"/>
      <c r="O98" s="4"/>
    </row>
    <row r="99" customFormat="false" ht="30" hidden="false" customHeight="true" outlineLevel="0" collapsed="false">
      <c r="D99" s="7" t="s">
        <v>15</v>
      </c>
      <c r="E99" s="7" t="s">
        <v>16</v>
      </c>
      <c r="F99" s="7" t="s">
        <v>17</v>
      </c>
      <c r="G99" s="7" t="s">
        <v>60</v>
      </c>
      <c r="H99" s="7" t="s">
        <v>31</v>
      </c>
      <c r="I99" s="7" t="s">
        <v>61</v>
      </c>
      <c r="J99" s="3" t="s">
        <v>62</v>
      </c>
      <c r="K99" s="3"/>
      <c r="L99" s="3"/>
      <c r="M99" s="3"/>
      <c r="N99" s="3"/>
      <c r="O99" s="3"/>
    </row>
    <row r="100" customFormat="false" ht="19.5" hidden="false" customHeight="true" outlineLevel="0" collapsed="false">
      <c r="D100" s="10" t="n">
        <f aca="false">$D$15</f>
        <v>0</v>
      </c>
      <c r="E100" s="10" t="n">
        <f aca="false">$E$15</f>
        <v>0</v>
      </c>
      <c r="F100" s="10" t="n">
        <f aca="false">$F$15</f>
        <v>0</v>
      </c>
      <c r="G100" s="11" t="n">
        <f aca="false">D100*$E$86+E100*$E$87+$E$88</f>
        <v>-0.3</v>
      </c>
      <c r="H100" s="10" t="n">
        <f aca="false">IF(G100&gt;=0,1,0)</f>
        <v>0</v>
      </c>
      <c r="I100" s="19" t="str">
        <f aca="false">IF(H100=F100,"Sí","No")</f>
        <v>Sí</v>
      </c>
      <c r="J100" s="3" t="s">
        <v>63</v>
      </c>
      <c r="K100" s="3"/>
      <c r="L100" s="3"/>
      <c r="M100" s="3"/>
      <c r="N100" s="3"/>
      <c r="O100" s="3"/>
    </row>
    <row r="101" customFormat="false" ht="19.5" hidden="false" customHeight="true" outlineLevel="0" collapsed="false">
      <c r="D101" s="10" t="n">
        <f aca="false">$D$16</f>
        <v>0</v>
      </c>
      <c r="E101" s="10" t="n">
        <f aca="false">$E$16</f>
        <v>1</v>
      </c>
      <c r="F101" s="10" t="n">
        <f aca="false">$F$16</f>
        <v>0</v>
      </c>
      <c r="G101" s="11" t="n">
        <f aca="false">D101*$E$86+E101*$E$87+$E$88</f>
        <v>-0.2</v>
      </c>
      <c r="H101" s="10" t="n">
        <f aca="false">IF(G101&gt;=0,1,0)</f>
        <v>0</v>
      </c>
      <c r="I101" s="19" t="str">
        <f aca="false">IF(H101=F101,"Sí","No")</f>
        <v>Sí</v>
      </c>
      <c r="J101" s="3" t="s">
        <v>64</v>
      </c>
      <c r="K101" s="3"/>
      <c r="L101" s="3"/>
      <c r="M101" s="3"/>
      <c r="N101" s="3"/>
      <c r="O101" s="3"/>
    </row>
    <row r="102" customFormat="false" ht="19.5" hidden="false" customHeight="true" outlineLevel="0" collapsed="false">
      <c r="D102" s="10" t="n">
        <f aca="false">$D$17</f>
        <v>1</v>
      </c>
      <c r="E102" s="10" t="n">
        <f aca="false">$E$17</f>
        <v>0</v>
      </c>
      <c r="F102" s="10" t="n">
        <f aca="false">$F$17</f>
        <v>0</v>
      </c>
      <c r="G102" s="11" t="n">
        <f aca="false">D102*$E$86+E102*$E$87+$E$88</f>
        <v>-0.1</v>
      </c>
      <c r="H102" s="10" t="n">
        <f aca="false">IF(G102&gt;=0,1,0)</f>
        <v>0</v>
      </c>
      <c r="I102" s="19" t="str">
        <f aca="false">IF(H102=F102,"Sí","No")</f>
        <v>Sí</v>
      </c>
      <c r="J102" s="3" t="s">
        <v>65</v>
      </c>
      <c r="K102" s="3"/>
      <c r="L102" s="3"/>
      <c r="M102" s="3"/>
      <c r="N102" s="3"/>
      <c r="O102" s="3"/>
    </row>
    <row r="103" customFormat="false" ht="19.5" hidden="false" customHeight="true" outlineLevel="0" collapsed="false">
      <c r="D103" s="10" t="n">
        <f aca="false">$D$18</f>
        <v>1</v>
      </c>
      <c r="E103" s="10" t="n">
        <f aca="false">$E$18</f>
        <v>1</v>
      </c>
      <c r="F103" s="10" t="n">
        <f aca="false">$F$18</f>
        <v>1</v>
      </c>
      <c r="G103" s="11" t="n">
        <f aca="false">D103*$E$86+E103*$E$87+$E$88</f>
        <v>0</v>
      </c>
      <c r="H103" s="10" t="n">
        <f aca="false">IF(G103&gt;=0,1,0)</f>
        <v>1</v>
      </c>
      <c r="I103" s="19" t="str">
        <f aca="false">IF(H103=F103,"Sí","No")</f>
        <v>Sí</v>
      </c>
      <c r="J103" s="3" t="s">
        <v>66</v>
      </c>
      <c r="K103" s="3"/>
      <c r="L103" s="3"/>
      <c r="M103" s="3"/>
      <c r="N103" s="3"/>
      <c r="O103" s="3"/>
    </row>
    <row r="105" customFormat="false" ht="21.75" hidden="false" customHeight="true" outlineLevel="0" collapsed="false">
      <c r="B105" s="4" t="s">
        <v>67</v>
      </c>
      <c r="C105" s="4"/>
      <c r="D105" s="4"/>
      <c r="E105" s="4"/>
      <c r="F105" s="4"/>
      <c r="G105" s="4"/>
      <c r="H105" s="4"/>
      <c r="I105" s="4"/>
      <c r="J105" s="4"/>
      <c r="K105" s="4"/>
      <c r="L105" s="4"/>
      <c r="M105" s="4"/>
      <c r="N105" s="4"/>
      <c r="O105" s="4"/>
    </row>
    <row r="106" customFormat="false" ht="43.5" hidden="false" customHeight="true" outlineLevel="0" collapsed="false">
      <c r="D106" s="7" t="s">
        <v>15</v>
      </c>
      <c r="E106" s="7" t="s">
        <v>16</v>
      </c>
      <c r="F106" s="7" t="s">
        <v>68</v>
      </c>
      <c r="G106" s="7" t="s">
        <v>60</v>
      </c>
      <c r="H106" s="7" t="s">
        <v>69</v>
      </c>
      <c r="I106" s="7" t="s">
        <v>70</v>
      </c>
    </row>
    <row r="107" customFormat="false" ht="19.5" hidden="false" customHeight="true" outlineLevel="0" collapsed="false">
      <c r="D107" s="10" t="n">
        <v>0</v>
      </c>
      <c r="E107" s="10" t="n">
        <v>0</v>
      </c>
      <c r="F107" s="10" t="n">
        <v>0</v>
      </c>
      <c r="G107" s="11" t="n">
        <f aca="false">D107*$E$86+E107*$E$87+$E$88</f>
        <v>-0.3</v>
      </c>
      <c r="H107" s="10" t="n">
        <f aca="false">IF(G107&gt;=0,1,0)</f>
        <v>0</v>
      </c>
      <c r="I107" s="19" t="str">
        <f aca="false">IF(H107=F107,"Sí","No")</f>
        <v>Sí</v>
      </c>
      <c r="J107" s="3" t="s">
        <v>71</v>
      </c>
      <c r="K107" s="3"/>
      <c r="L107" s="3"/>
      <c r="M107" s="3"/>
      <c r="N107" s="3"/>
      <c r="O107" s="3"/>
    </row>
    <row r="108" customFormat="false" ht="19.5" hidden="false" customHeight="true" outlineLevel="0" collapsed="false">
      <c r="D108" s="10" t="n">
        <v>0</v>
      </c>
      <c r="E108" s="10" t="n">
        <v>1</v>
      </c>
      <c r="F108" s="10" t="n">
        <v>0</v>
      </c>
      <c r="G108" s="11" t="n">
        <f aca="false">D108*$E$86+E108*$E$87+$E$88</f>
        <v>-0.2</v>
      </c>
      <c r="H108" s="10" t="n">
        <f aca="false">IF(G108&gt;=0,1,0)</f>
        <v>0</v>
      </c>
      <c r="I108" s="19" t="str">
        <f aca="false">IF(H108=F108,"Sí","No")</f>
        <v>Sí</v>
      </c>
      <c r="J108" s="3" t="s">
        <v>72</v>
      </c>
      <c r="K108" s="3"/>
      <c r="L108" s="3"/>
      <c r="M108" s="3"/>
      <c r="N108" s="3"/>
      <c r="O108" s="3"/>
    </row>
    <row r="109" customFormat="false" ht="19.5" hidden="false" customHeight="true" outlineLevel="0" collapsed="false">
      <c r="D109" s="10" t="n">
        <v>1</v>
      </c>
      <c r="E109" s="10" t="n">
        <v>0</v>
      </c>
      <c r="F109" s="10" t="n">
        <v>0</v>
      </c>
      <c r="G109" s="11" t="n">
        <f aca="false">D109*$E$86+E109*$E$87+$E$88</f>
        <v>-0.1</v>
      </c>
      <c r="H109" s="10" t="n">
        <f aca="false">IF(G109&gt;=0,1,0)</f>
        <v>0</v>
      </c>
      <c r="I109" s="19" t="str">
        <f aca="false">IF(H109=F109,"Sí","No")</f>
        <v>Sí</v>
      </c>
      <c r="J109" s="3" t="s">
        <v>73</v>
      </c>
      <c r="K109" s="3"/>
      <c r="L109" s="3"/>
      <c r="M109" s="3"/>
      <c r="N109" s="3"/>
      <c r="O109" s="3"/>
    </row>
    <row r="110" customFormat="false" ht="19.5" hidden="false" customHeight="true" outlineLevel="0" collapsed="false">
      <c r="D110" s="10" t="n">
        <v>1</v>
      </c>
      <c r="E110" s="10" t="n">
        <v>1</v>
      </c>
      <c r="F110" s="10" t="n">
        <v>1</v>
      </c>
      <c r="G110" s="11" t="n">
        <f aca="false">D110*$E$86+E110*$E$87+$E$88</f>
        <v>0</v>
      </c>
      <c r="H110" s="10" t="n">
        <f aca="false">IF(G110&gt;=0,1,0)</f>
        <v>1</v>
      </c>
      <c r="I110" s="19" t="str">
        <f aca="false">IF(H110=F110,"Sí","No")</f>
        <v>Sí</v>
      </c>
      <c r="J110" s="3" t="s">
        <v>74</v>
      </c>
      <c r="K110" s="3"/>
      <c r="L110" s="3"/>
      <c r="M110" s="3"/>
      <c r="N110" s="3"/>
      <c r="O110" s="3"/>
    </row>
    <row r="111" customFormat="false" ht="30" hidden="false" customHeight="true" outlineLevel="0" collapsed="false">
      <c r="B111" s="20" t="str">
        <f aca="false">IF(SUMPRODUCT(($H$107:$H$110=$F$107:$F$110)*1)=4,"VALIDACIÓN EXITOSA: tras el entrenamiento, el perceptrón reproduce exactamente la tabla de la compuerta AND (0, 0, 0, 1).","VALIDACIÓN NO SUPERADA: el perceptrón todavía no reproduce la compuerta AND. Revise la columna Error de la sección 3 o restaure los datos originales.")</f>
        <v>VALIDACIÓN EXITOSA: tras el entrenamiento, el perceptrón reproduce exactamente la tabla de la compuerta AND (0, 0, 0, 1).</v>
      </c>
      <c r="C111" s="20"/>
      <c r="D111" s="20"/>
      <c r="E111" s="20"/>
      <c r="F111" s="20"/>
      <c r="G111" s="20"/>
      <c r="H111" s="20"/>
      <c r="I111" s="20"/>
      <c r="J111" s="20"/>
      <c r="K111" s="20"/>
      <c r="L111" s="20"/>
      <c r="M111" s="20"/>
      <c r="N111" s="20"/>
      <c r="O111" s="20"/>
    </row>
    <row r="113" customFormat="false" ht="21.75" hidden="false" customHeight="true" outlineLevel="0" collapsed="false">
      <c r="B113" s="4" t="s">
        <v>75</v>
      </c>
      <c r="C113" s="4"/>
      <c r="D113" s="4"/>
      <c r="E113" s="4"/>
      <c r="F113" s="4"/>
      <c r="G113" s="4"/>
      <c r="H113" s="4"/>
      <c r="I113" s="4"/>
      <c r="J113" s="4"/>
      <c r="K113" s="4"/>
      <c r="L113" s="4"/>
      <c r="M113" s="4"/>
      <c r="N113" s="4"/>
      <c r="O113" s="4"/>
    </row>
    <row r="114" customFormat="false" ht="27.75" hidden="false" customHeight="true" outlineLevel="0" collapsed="false">
      <c r="B114" s="21" t="s">
        <v>76</v>
      </c>
      <c r="C114" s="21"/>
      <c r="D114" s="21"/>
      <c r="E114" s="21"/>
      <c r="F114" s="21"/>
      <c r="G114" s="21"/>
      <c r="H114" s="21"/>
      <c r="I114" s="21"/>
      <c r="J114" s="21"/>
      <c r="K114" s="21"/>
      <c r="L114" s="21"/>
      <c r="M114" s="21"/>
      <c r="N114" s="21"/>
      <c r="O114" s="21"/>
    </row>
    <row r="115" customFormat="false" ht="27.75" hidden="false" customHeight="true" outlineLevel="0" collapsed="false">
      <c r="B115" s="21" t="s">
        <v>77</v>
      </c>
      <c r="C115" s="21"/>
      <c r="D115" s="21"/>
      <c r="E115" s="21"/>
      <c r="F115" s="21"/>
      <c r="G115" s="21"/>
      <c r="H115" s="21"/>
      <c r="I115" s="21"/>
      <c r="J115" s="21"/>
      <c r="K115" s="21"/>
      <c r="L115" s="21"/>
      <c r="M115" s="21"/>
      <c r="N115" s="21"/>
      <c r="O115" s="21"/>
    </row>
    <row r="116" customFormat="false" ht="27.75" hidden="false" customHeight="true" outlineLevel="0" collapsed="false">
      <c r="B116" s="21" t="s">
        <v>78</v>
      </c>
      <c r="C116" s="21"/>
      <c r="D116" s="21"/>
      <c r="E116" s="21"/>
      <c r="F116" s="21"/>
      <c r="G116" s="21"/>
      <c r="H116" s="21"/>
      <c r="I116" s="21"/>
      <c r="J116" s="21"/>
      <c r="K116" s="21"/>
      <c r="L116" s="21"/>
      <c r="M116" s="21"/>
      <c r="N116" s="21"/>
      <c r="O116" s="21"/>
    </row>
    <row r="117" customFormat="false" ht="39.75" hidden="false" customHeight="true" outlineLevel="0" collapsed="false">
      <c r="B117" s="3" t="s">
        <v>79</v>
      </c>
      <c r="C117" s="3"/>
      <c r="D117" s="3"/>
      <c r="E117" s="3"/>
      <c r="F117" s="3"/>
      <c r="G117" s="3"/>
      <c r="H117" s="3"/>
      <c r="I117" s="3"/>
      <c r="J117" s="3"/>
      <c r="K117" s="3"/>
      <c r="L117" s="3"/>
      <c r="M117" s="3"/>
      <c r="N117" s="3"/>
      <c r="O117" s="3"/>
    </row>
  </sheetData>
  <mergeCells count="64">
    <mergeCell ref="B2:O2"/>
    <mergeCell ref="B3:O3"/>
    <mergeCell ref="B4:O4"/>
    <mergeCell ref="B6:O6"/>
    <mergeCell ref="B7:D7"/>
    <mergeCell ref="F7:O7"/>
    <mergeCell ref="B8:D8"/>
    <mergeCell ref="F8:O8"/>
    <mergeCell ref="B9:D9"/>
    <mergeCell ref="F9:O9"/>
    <mergeCell ref="B10:D10"/>
    <mergeCell ref="F10:O10"/>
    <mergeCell ref="B11:O11"/>
    <mergeCell ref="B13:O13"/>
    <mergeCell ref="B14:C14"/>
    <mergeCell ref="G14:O14"/>
    <mergeCell ref="B15:C15"/>
    <mergeCell ref="B16:C16"/>
    <mergeCell ref="B17:C17"/>
    <mergeCell ref="B18:C18"/>
    <mergeCell ref="B19:O19"/>
    <mergeCell ref="B21:O21"/>
    <mergeCell ref="B83:O83"/>
    <mergeCell ref="B85:O85"/>
    <mergeCell ref="B86:D86"/>
    <mergeCell ref="F86:O86"/>
    <mergeCell ref="B87:D87"/>
    <mergeCell ref="F87:O87"/>
    <mergeCell ref="B88:D88"/>
    <mergeCell ref="F88:O88"/>
    <mergeCell ref="B89:D89"/>
    <mergeCell ref="F89:O89"/>
    <mergeCell ref="B90:D90"/>
    <mergeCell ref="F90:O90"/>
    <mergeCell ref="B91:D91"/>
    <mergeCell ref="F91:O91"/>
    <mergeCell ref="B92:D92"/>
    <mergeCell ref="F92:O92"/>
    <mergeCell ref="B93:D93"/>
    <mergeCell ref="F93:O93"/>
    <mergeCell ref="B94:D94"/>
    <mergeCell ref="F94:O94"/>
    <mergeCell ref="B95:D95"/>
    <mergeCell ref="F95:O95"/>
    <mergeCell ref="B96:D96"/>
    <mergeCell ref="E96:J96"/>
    <mergeCell ref="K96:O96"/>
    <mergeCell ref="B98:O98"/>
    <mergeCell ref="J99:O99"/>
    <mergeCell ref="J100:O100"/>
    <mergeCell ref="J101:O101"/>
    <mergeCell ref="J102:O102"/>
    <mergeCell ref="J103:O103"/>
    <mergeCell ref="B105:O105"/>
    <mergeCell ref="J107:O107"/>
    <mergeCell ref="J108:O108"/>
    <mergeCell ref="J109:O109"/>
    <mergeCell ref="J110:O110"/>
    <mergeCell ref="B111:O111"/>
    <mergeCell ref="B113:O113"/>
    <mergeCell ref="B114:O114"/>
    <mergeCell ref="B115:O115"/>
    <mergeCell ref="B116:O116"/>
    <mergeCell ref="B117:O117"/>
  </mergeCells>
  <conditionalFormatting sqref="L23:L82">
    <cfRule type="cellIs" priority="2" operator="notEqual" aboveAverage="0" equalAverage="0" bottom="0" percent="0" rank="0" text="" dxfId="0">
      <formula>0</formula>
    </cfRule>
  </conditionalFormatting>
  <conditionalFormatting sqref="I100:I103">
    <cfRule type="cellIs" priority="3" operator="equal" aboveAverage="0" equalAverage="0" bottom="0" percent="0" rank="0" text="" dxfId="1">
      <formula>"Sí"</formula>
    </cfRule>
    <cfRule type="cellIs" priority="4" operator="equal" aboveAverage="0" equalAverage="0" bottom="0" percent="0" rank="0" text="" dxfId="0">
      <formula>"No"</formula>
    </cfRule>
  </conditionalFormatting>
  <conditionalFormatting sqref="I107:I110">
    <cfRule type="cellIs" priority="5" operator="equal" aboveAverage="0" equalAverage="0" bottom="0" percent="0" rank="0" text="" dxfId="1">
      <formula>"Sí"</formula>
    </cfRule>
    <cfRule type="cellIs" priority="6" operator="equal" aboveAverage="0" equalAverage="0" bottom="0" percent="0" rank="0" text="" dxfId="0">
      <formula>"No"</formula>
    </cfRule>
  </conditionalFormatting>
  <conditionalFormatting sqref="E96:J96">
    <cfRule type="expression" priority="7" aboveAverage="0" equalAverage="0" bottom="0" percent="0" rank="0" text="" dxfId="1">
      <formula>$E$93=0</formula>
    </cfRule>
    <cfRule type="expression" priority="8" aboveAverage="0" equalAverage="0" bottom="0" percent="0" rank="0" text="" dxfId="0">
      <formula>$E$93&lt;&gt;0</formula>
    </cfRule>
  </conditionalFormatting>
  <conditionalFormatting sqref="B111:O111">
    <cfRule type="expression" priority="9" aboveAverage="0" equalAverage="0" bottom="0" percent="0" rank="0" text="" dxfId="1">
      <formula>SUMPRODUCT(($H$107:$H$110=$F$107:$F$110)*1)=4</formula>
    </cfRule>
    <cfRule type="expression" priority="10" aboveAverage="0" equalAverage="0" bottom="0" percent="0" rank="0" text="" dxfId="0">
      <formula>SUMPRODUCT(($H$107:$H$110=$F$107:$F$110)*1)&lt;&gt;4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A84"/>
    <pageSetUpPr fitToPage="true"/>
  </sheetPr>
  <dimension ref="B2: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8" min="2" style="1" width="14"/>
  </cols>
  <sheetData>
    <row r="2" customFormat="false" ht="31.5" hidden="false" customHeight="true" outlineLevel="0" collapsed="false">
      <c r="B2" s="2" t="s">
        <v>80</v>
      </c>
      <c r="C2" s="2"/>
      <c r="D2" s="2"/>
      <c r="E2" s="2"/>
      <c r="F2" s="2"/>
      <c r="G2" s="2"/>
      <c r="H2" s="2"/>
    </row>
    <row r="3" customFormat="false" ht="27.75" hidden="false" customHeight="true" outlineLevel="0" collapsed="false">
      <c r="B3" s="3" t="s">
        <v>81</v>
      </c>
      <c r="C3" s="3"/>
      <c r="D3" s="3"/>
      <c r="E3" s="3"/>
      <c r="F3" s="3"/>
      <c r="G3" s="3"/>
      <c r="H3" s="3"/>
    </row>
    <row r="5" customFormat="false" ht="21.75" hidden="false" customHeight="true" outlineLevel="0" collapsed="false">
      <c r="B5" s="4" t="s">
        <v>82</v>
      </c>
      <c r="C5" s="4"/>
      <c r="D5" s="4"/>
      <c r="E5" s="4"/>
      <c r="F5" s="4"/>
      <c r="G5" s="4"/>
      <c r="H5" s="4"/>
    </row>
    <row r="6" customFormat="false" ht="100.5" hidden="false" customHeight="true" outlineLevel="0" collapsed="false">
      <c r="B6" s="22" t="s">
        <v>83</v>
      </c>
      <c r="C6" s="22"/>
      <c r="D6" s="22"/>
      <c r="E6" s="22"/>
      <c r="F6" s="22"/>
      <c r="G6" s="22"/>
      <c r="H6" s="22"/>
    </row>
    <row r="7" customFormat="false" ht="100.5" hidden="false" customHeight="true" outlineLevel="0" collapsed="false">
      <c r="B7" s="22" t="s">
        <v>84</v>
      </c>
      <c r="C7" s="22"/>
      <c r="D7" s="22"/>
      <c r="E7" s="22"/>
      <c r="F7" s="22"/>
      <c r="G7" s="22"/>
      <c r="H7" s="22"/>
    </row>
    <row r="8" customFormat="false" ht="7.5" hidden="false" customHeight="true" outlineLevel="0" collapsed="false"/>
    <row r="9" customFormat="false" ht="21.75" hidden="false" customHeight="true" outlineLevel="0" collapsed="false">
      <c r="B9" s="4" t="s">
        <v>85</v>
      </c>
      <c r="C9" s="4"/>
      <c r="D9" s="4"/>
      <c r="E9" s="4"/>
      <c r="F9" s="4"/>
      <c r="G9" s="4"/>
      <c r="H9" s="4"/>
    </row>
    <row r="10" customFormat="false" ht="54" hidden="false" customHeight="true" outlineLevel="0" collapsed="false">
      <c r="B10" s="22" t="s">
        <v>86</v>
      </c>
      <c r="C10" s="22"/>
      <c r="D10" s="22"/>
      <c r="E10" s="22"/>
      <c r="F10" s="22"/>
      <c r="G10" s="22"/>
      <c r="H10" s="22"/>
    </row>
    <row r="11" customFormat="false" ht="21.75" hidden="false" customHeight="true" outlineLevel="0" collapsed="false">
      <c r="B11" s="7" t="s">
        <v>87</v>
      </c>
      <c r="C11" s="7" t="s">
        <v>88</v>
      </c>
      <c r="D11" s="7"/>
      <c r="E11" s="7"/>
      <c r="F11" s="7"/>
      <c r="G11" s="7"/>
      <c r="H11" s="7"/>
    </row>
    <row r="12" customFormat="false" ht="54" hidden="false" customHeight="true" outlineLevel="0" collapsed="false">
      <c r="B12" s="23" t="s">
        <v>15</v>
      </c>
      <c r="C12" s="24" t="s">
        <v>89</v>
      </c>
      <c r="D12" s="24"/>
      <c r="E12" s="24"/>
      <c r="F12" s="24"/>
      <c r="G12" s="24"/>
      <c r="H12" s="24"/>
    </row>
    <row r="13" customFormat="false" ht="39" hidden="false" customHeight="true" outlineLevel="0" collapsed="false">
      <c r="B13" s="25" t="s">
        <v>16</v>
      </c>
      <c r="C13" s="26" t="s">
        <v>90</v>
      </c>
      <c r="D13" s="26"/>
      <c r="E13" s="26"/>
      <c r="F13" s="26"/>
      <c r="G13" s="26"/>
      <c r="H13" s="26"/>
    </row>
    <row r="14" customFormat="false" ht="39" hidden="false" customHeight="true" outlineLevel="0" collapsed="false">
      <c r="B14" s="23" t="s">
        <v>27</v>
      </c>
      <c r="C14" s="24" t="s">
        <v>91</v>
      </c>
      <c r="D14" s="24"/>
      <c r="E14" s="24"/>
      <c r="F14" s="24"/>
      <c r="G14" s="24"/>
      <c r="H14" s="24"/>
    </row>
    <row r="15" customFormat="false" ht="39" hidden="false" customHeight="true" outlineLevel="0" collapsed="false">
      <c r="B15" s="25" t="s">
        <v>28</v>
      </c>
      <c r="C15" s="26" t="s">
        <v>92</v>
      </c>
      <c r="D15" s="26"/>
      <c r="E15" s="26"/>
      <c r="F15" s="26"/>
      <c r="G15" s="26"/>
      <c r="H15" s="26"/>
    </row>
    <row r="16" customFormat="false" ht="54" hidden="false" customHeight="true" outlineLevel="0" collapsed="false">
      <c r="B16" s="23" t="s">
        <v>93</v>
      </c>
      <c r="C16" s="24" t="s">
        <v>94</v>
      </c>
      <c r="D16" s="24"/>
      <c r="E16" s="24"/>
      <c r="F16" s="24"/>
      <c r="G16" s="24"/>
      <c r="H16" s="24"/>
    </row>
    <row r="17" customFormat="false" ht="39" hidden="false" customHeight="true" outlineLevel="0" collapsed="false">
      <c r="B17" s="25" t="s">
        <v>95</v>
      </c>
      <c r="C17" s="26" t="s">
        <v>96</v>
      </c>
      <c r="D17" s="26"/>
      <c r="E17" s="26"/>
      <c r="F17" s="26"/>
      <c r="G17" s="26"/>
      <c r="H17" s="26"/>
    </row>
    <row r="18" customFormat="false" ht="39" hidden="false" customHeight="true" outlineLevel="0" collapsed="false">
      <c r="B18" s="23" t="s">
        <v>97</v>
      </c>
      <c r="C18" s="24" t="s">
        <v>98</v>
      </c>
      <c r="D18" s="24"/>
      <c r="E18" s="24"/>
      <c r="F18" s="24"/>
      <c r="G18" s="24"/>
      <c r="H18" s="24"/>
    </row>
    <row r="19" customFormat="false" ht="39" hidden="false" customHeight="true" outlineLevel="0" collapsed="false">
      <c r="B19" s="25" t="s">
        <v>17</v>
      </c>
      <c r="C19" s="26" t="s">
        <v>99</v>
      </c>
      <c r="D19" s="26"/>
      <c r="E19" s="26"/>
      <c r="F19" s="26"/>
      <c r="G19" s="26"/>
      <c r="H19" s="26"/>
    </row>
    <row r="20" customFormat="false" ht="39" hidden="false" customHeight="true" outlineLevel="0" collapsed="false">
      <c r="B20" s="23" t="s">
        <v>31</v>
      </c>
      <c r="C20" s="24" t="s">
        <v>100</v>
      </c>
      <c r="D20" s="24"/>
      <c r="E20" s="24"/>
      <c r="F20" s="24"/>
      <c r="G20" s="24"/>
      <c r="H20" s="24"/>
    </row>
    <row r="21" customFormat="false" ht="39" hidden="false" customHeight="true" outlineLevel="0" collapsed="false">
      <c r="B21" s="25" t="s">
        <v>32</v>
      </c>
      <c r="C21" s="26" t="s">
        <v>101</v>
      </c>
      <c r="D21" s="26"/>
      <c r="E21" s="26"/>
      <c r="F21" s="26"/>
      <c r="G21" s="26"/>
      <c r="H21" s="26"/>
    </row>
    <row r="22" customFormat="false" ht="7.5" hidden="false" customHeight="true" outlineLevel="0" collapsed="false"/>
    <row r="23" customFormat="false" ht="21.75" hidden="false" customHeight="true" outlineLevel="0" collapsed="false">
      <c r="B23" s="4" t="s">
        <v>102</v>
      </c>
      <c r="C23" s="4"/>
      <c r="D23" s="4"/>
      <c r="E23" s="4"/>
      <c r="F23" s="4"/>
      <c r="G23" s="4"/>
      <c r="H23" s="4"/>
    </row>
    <row r="24" customFormat="false" ht="39" hidden="false" customHeight="true" outlineLevel="0" collapsed="false">
      <c r="B24" s="22" t="s">
        <v>103</v>
      </c>
      <c r="C24" s="22"/>
      <c r="D24" s="22"/>
      <c r="E24" s="22"/>
      <c r="F24" s="22"/>
      <c r="G24" s="22"/>
      <c r="H24" s="22"/>
    </row>
    <row r="25" customFormat="false" ht="40.5" hidden="false" customHeight="true" outlineLevel="0" collapsed="false">
      <c r="B25" s="27" t="s">
        <v>104</v>
      </c>
      <c r="C25" s="27"/>
      <c r="D25" s="27"/>
      <c r="E25" s="27"/>
      <c r="F25" s="27"/>
      <c r="G25" s="27"/>
      <c r="H25" s="27"/>
    </row>
    <row r="26" customFormat="false" ht="3.75" hidden="false" customHeight="true" outlineLevel="0" collapsed="false"/>
    <row r="27" customFormat="false" ht="54" hidden="false" customHeight="true" outlineLevel="0" collapsed="false">
      <c r="B27" s="22" t="s">
        <v>105</v>
      </c>
      <c r="C27" s="22"/>
      <c r="D27" s="22"/>
      <c r="E27" s="22"/>
      <c r="F27" s="22"/>
      <c r="G27" s="22"/>
      <c r="H27" s="22"/>
    </row>
    <row r="28" customFormat="false" ht="69.75" hidden="false" customHeight="true" outlineLevel="0" collapsed="false">
      <c r="B28" s="22" t="s">
        <v>106</v>
      </c>
      <c r="C28" s="22"/>
      <c r="D28" s="22"/>
      <c r="E28" s="22"/>
      <c r="F28" s="22"/>
      <c r="G28" s="22"/>
      <c r="H28" s="22"/>
    </row>
    <row r="29" customFormat="false" ht="69.75" hidden="false" customHeight="true" outlineLevel="0" collapsed="false">
      <c r="B29" s="22" t="s">
        <v>107</v>
      </c>
      <c r="C29" s="22"/>
      <c r="D29" s="22"/>
      <c r="E29" s="22"/>
      <c r="F29" s="22"/>
      <c r="G29" s="22"/>
      <c r="H29" s="22"/>
    </row>
    <row r="30" customFormat="false" ht="54" hidden="false" customHeight="true" outlineLevel="0" collapsed="false">
      <c r="B30" s="22" t="s">
        <v>108</v>
      </c>
      <c r="C30" s="22"/>
      <c r="D30" s="22"/>
      <c r="E30" s="22"/>
      <c r="F30" s="22"/>
      <c r="G30" s="22"/>
      <c r="H30" s="22"/>
    </row>
    <row r="31" customFormat="false" ht="7.5" hidden="false" customHeight="true" outlineLevel="0" collapsed="false"/>
    <row r="32" customFormat="false" ht="21.75" hidden="false" customHeight="true" outlineLevel="0" collapsed="false">
      <c r="B32" s="4" t="s">
        <v>109</v>
      </c>
      <c r="C32" s="4"/>
      <c r="D32" s="4"/>
      <c r="E32" s="4"/>
      <c r="F32" s="4"/>
      <c r="G32" s="4"/>
      <c r="H32" s="4"/>
    </row>
    <row r="33" customFormat="false" ht="69.75" hidden="false" customHeight="true" outlineLevel="0" collapsed="false">
      <c r="B33" s="22" t="s">
        <v>110</v>
      </c>
      <c r="C33" s="22"/>
      <c r="D33" s="22"/>
      <c r="E33" s="22"/>
      <c r="F33" s="22"/>
      <c r="G33" s="22"/>
      <c r="H33" s="22"/>
    </row>
    <row r="34" customFormat="false" ht="24" hidden="false" customHeight="true" outlineLevel="0" collapsed="false">
      <c r="B34" s="28" t="s">
        <v>111</v>
      </c>
      <c r="C34" s="28"/>
      <c r="D34" s="28"/>
      <c r="E34" s="28"/>
      <c r="F34" s="28"/>
      <c r="G34" s="28"/>
      <c r="H34" s="28"/>
    </row>
    <row r="35" customFormat="false" ht="24" hidden="false" customHeight="true" outlineLevel="0" collapsed="false">
      <c r="B35" s="28" t="s">
        <v>112</v>
      </c>
      <c r="C35" s="28"/>
      <c r="D35" s="28"/>
      <c r="E35" s="28"/>
      <c r="F35" s="28"/>
      <c r="G35" s="28"/>
      <c r="H35" s="28"/>
    </row>
    <row r="36" customFormat="false" ht="24" hidden="false" customHeight="true" outlineLevel="0" collapsed="false">
      <c r="B36" s="28" t="s">
        <v>113</v>
      </c>
      <c r="C36" s="28"/>
      <c r="D36" s="28"/>
      <c r="E36" s="28"/>
      <c r="F36" s="28"/>
      <c r="G36" s="28"/>
      <c r="H36" s="28"/>
    </row>
    <row r="37" customFormat="false" ht="85.5" hidden="false" customHeight="true" outlineLevel="0" collapsed="false">
      <c r="B37" s="22" t="s">
        <v>114</v>
      </c>
      <c r="C37" s="22"/>
      <c r="D37" s="22"/>
      <c r="E37" s="22"/>
      <c r="F37" s="22"/>
      <c r="G37" s="22"/>
      <c r="H37" s="22"/>
    </row>
    <row r="38" customFormat="false" ht="7.5" hidden="false" customHeight="true" outlineLevel="0" collapsed="false"/>
    <row r="39" customFormat="false" ht="21.75" hidden="false" customHeight="true" outlineLevel="0" collapsed="false">
      <c r="B39" s="4" t="s">
        <v>115</v>
      </c>
      <c r="C39" s="4"/>
      <c r="D39" s="4"/>
      <c r="E39" s="4"/>
      <c r="F39" s="4"/>
      <c r="G39" s="4"/>
      <c r="H39" s="4"/>
    </row>
    <row r="40" customFormat="false" ht="69.75" hidden="false" customHeight="true" outlineLevel="0" collapsed="false">
      <c r="B40" s="22" t="s">
        <v>116</v>
      </c>
      <c r="C40" s="22"/>
      <c r="D40" s="22"/>
      <c r="E40" s="22"/>
      <c r="F40" s="22"/>
      <c r="G40" s="22"/>
      <c r="H40" s="22"/>
    </row>
    <row r="41" customFormat="false" ht="116.25" hidden="false" customHeight="true" outlineLevel="0" collapsed="false">
      <c r="B41" s="22" t="s">
        <v>117</v>
      </c>
      <c r="C41" s="22"/>
      <c r="D41" s="22"/>
      <c r="E41" s="22"/>
      <c r="F41" s="22"/>
      <c r="G41" s="22"/>
      <c r="H41" s="22"/>
    </row>
    <row r="42" customFormat="false" ht="85.5" hidden="false" customHeight="true" outlineLevel="0" collapsed="false">
      <c r="B42" s="22" t="s">
        <v>118</v>
      </c>
      <c r="C42" s="22"/>
      <c r="D42" s="22"/>
      <c r="E42" s="22"/>
      <c r="F42" s="22"/>
      <c r="G42" s="22"/>
      <c r="H42" s="22"/>
    </row>
    <row r="43" customFormat="false" ht="85.5" hidden="false" customHeight="true" outlineLevel="0" collapsed="false">
      <c r="B43" s="22" t="s">
        <v>119</v>
      </c>
      <c r="C43" s="22"/>
      <c r="D43" s="22"/>
      <c r="E43" s="22"/>
      <c r="F43" s="22"/>
      <c r="G43" s="22"/>
      <c r="H43" s="22"/>
    </row>
    <row r="44" customFormat="false" ht="7.5" hidden="false" customHeight="true" outlineLevel="0" collapsed="false"/>
    <row r="45" customFormat="false" ht="21.75" hidden="false" customHeight="true" outlineLevel="0" collapsed="false">
      <c r="B45" s="4" t="s">
        <v>120</v>
      </c>
      <c r="C45" s="4"/>
      <c r="D45" s="4"/>
      <c r="E45" s="4"/>
      <c r="F45" s="4"/>
      <c r="G45" s="4"/>
      <c r="H45" s="4"/>
    </row>
    <row r="46" customFormat="false" ht="69.75" hidden="false" customHeight="true" outlineLevel="0" collapsed="false">
      <c r="B46" s="22" t="s">
        <v>121</v>
      </c>
      <c r="C46" s="22"/>
      <c r="D46" s="22"/>
      <c r="E46" s="22"/>
      <c r="F46" s="22"/>
      <c r="G46" s="22"/>
      <c r="H46" s="22"/>
    </row>
    <row r="47" customFormat="false" ht="24" hidden="false" customHeight="true" outlineLevel="0" collapsed="false">
      <c r="B47" s="7" t="s">
        <v>122</v>
      </c>
      <c r="C47" s="7"/>
      <c r="D47" s="7" t="s">
        <v>123</v>
      </c>
      <c r="E47" s="7"/>
      <c r="F47" s="7" t="s">
        <v>124</v>
      </c>
      <c r="G47" s="7"/>
      <c r="H47" s="7"/>
    </row>
    <row r="48" customFormat="false" ht="19.5" hidden="false" customHeight="true" outlineLevel="0" collapsed="false">
      <c r="B48" s="8" t="s">
        <v>125</v>
      </c>
      <c r="C48" s="8"/>
      <c r="D48" s="29" t="s">
        <v>126</v>
      </c>
      <c r="E48" s="29"/>
      <c r="F48" s="8" t="s">
        <v>127</v>
      </c>
      <c r="G48" s="8"/>
      <c r="H48" s="8"/>
    </row>
    <row r="49" customFormat="false" ht="19.5" hidden="false" customHeight="true" outlineLevel="0" collapsed="false">
      <c r="B49" s="30" t="s">
        <v>128</v>
      </c>
      <c r="C49" s="30"/>
      <c r="D49" s="31" t="s">
        <v>129</v>
      </c>
      <c r="E49" s="31"/>
      <c r="F49" s="30" t="s">
        <v>130</v>
      </c>
      <c r="G49" s="30"/>
      <c r="H49" s="30"/>
    </row>
    <row r="50" customFormat="false" ht="19.5" hidden="false" customHeight="true" outlineLevel="0" collapsed="false">
      <c r="B50" s="8" t="s">
        <v>131</v>
      </c>
      <c r="C50" s="8"/>
      <c r="D50" s="29" t="s">
        <v>132</v>
      </c>
      <c r="E50" s="29"/>
      <c r="F50" s="8" t="s">
        <v>133</v>
      </c>
      <c r="G50" s="8"/>
      <c r="H50" s="8"/>
    </row>
    <row r="51" customFormat="false" ht="19.5" hidden="false" customHeight="true" outlineLevel="0" collapsed="false">
      <c r="B51" s="30" t="s">
        <v>134</v>
      </c>
      <c r="C51" s="30"/>
      <c r="D51" s="31" t="s">
        <v>135</v>
      </c>
      <c r="E51" s="31"/>
      <c r="F51" s="30" t="s">
        <v>136</v>
      </c>
      <c r="G51" s="30"/>
      <c r="H51" s="30"/>
    </row>
    <row r="52" customFormat="false" ht="19.5" hidden="false" customHeight="true" outlineLevel="0" collapsed="false">
      <c r="B52" s="8" t="s">
        <v>137</v>
      </c>
      <c r="C52" s="8"/>
      <c r="D52" s="29" t="s">
        <v>138</v>
      </c>
      <c r="E52" s="29"/>
      <c r="F52" s="8" t="s">
        <v>139</v>
      </c>
      <c r="G52" s="8"/>
      <c r="H52" s="8"/>
    </row>
    <row r="53" customFormat="false" ht="19.5" hidden="false" customHeight="true" outlineLevel="0" collapsed="false">
      <c r="B53" s="30" t="s">
        <v>140</v>
      </c>
      <c r="C53" s="30"/>
      <c r="D53" s="31" t="s">
        <v>141</v>
      </c>
      <c r="E53" s="31"/>
      <c r="F53" s="30" t="s">
        <v>142</v>
      </c>
      <c r="G53" s="30"/>
      <c r="H53" s="30"/>
    </row>
    <row r="54" customFormat="false" ht="19.5" hidden="false" customHeight="true" outlineLevel="0" collapsed="false">
      <c r="B54" s="8" t="s">
        <v>143</v>
      </c>
      <c r="C54" s="8"/>
      <c r="D54" s="29" t="s">
        <v>144</v>
      </c>
      <c r="E54" s="29"/>
      <c r="F54" s="8" t="s">
        <v>145</v>
      </c>
      <c r="G54" s="8"/>
      <c r="H54" s="8"/>
    </row>
    <row r="55" customFormat="false" ht="3.75" hidden="false" customHeight="true" outlineLevel="0" collapsed="false"/>
    <row r="56" customFormat="false" ht="85.5" hidden="false" customHeight="true" outlineLevel="0" collapsed="false">
      <c r="B56" s="22" t="s">
        <v>146</v>
      </c>
      <c r="C56" s="22"/>
      <c r="D56" s="22"/>
      <c r="E56" s="22"/>
      <c r="F56" s="22"/>
      <c r="G56" s="22"/>
      <c r="H56" s="22"/>
    </row>
    <row r="57" customFormat="false" ht="7.5" hidden="false" customHeight="true" outlineLevel="0" collapsed="false"/>
    <row r="58" customFormat="false" ht="27.75" hidden="false" customHeight="true" outlineLevel="0" collapsed="false">
      <c r="B58" s="3" t="s">
        <v>147</v>
      </c>
      <c r="C58" s="3"/>
      <c r="D58" s="3"/>
      <c r="E58" s="3"/>
      <c r="F58" s="3"/>
      <c r="G58" s="3"/>
      <c r="H58" s="3"/>
    </row>
  </sheetData>
  <mergeCells count="64">
    <mergeCell ref="B2:H2"/>
    <mergeCell ref="B3:H3"/>
    <mergeCell ref="B5:H5"/>
    <mergeCell ref="B6:H6"/>
    <mergeCell ref="B7:H7"/>
    <mergeCell ref="B9:H9"/>
    <mergeCell ref="B10:H10"/>
    <mergeCell ref="C11:H11"/>
    <mergeCell ref="C12:H12"/>
    <mergeCell ref="C13:H13"/>
    <mergeCell ref="C14:H14"/>
    <mergeCell ref="C15:H15"/>
    <mergeCell ref="C16:H16"/>
    <mergeCell ref="C17:H17"/>
    <mergeCell ref="C18:H18"/>
    <mergeCell ref="C19:H19"/>
    <mergeCell ref="C20:H20"/>
    <mergeCell ref="C21:H21"/>
    <mergeCell ref="B23:H23"/>
    <mergeCell ref="B24:H24"/>
    <mergeCell ref="B25:H25"/>
    <mergeCell ref="B27:H27"/>
    <mergeCell ref="B28:H28"/>
    <mergeCell ref="B29:H29"/>
    <mergeCell ref="B30:H30"/>
    <mergeCell ref="B32:H32"/>
    <mergeCell ref="B33:H33"/>
    <mergeCell ref="B34:H34"/>
    <mergeCell ref="B35:H35"/>
    <mergeCell ref="B36:H36"/>
    <mergeCell ref="B37:H37"/>
    <mergeCell ref="B39:H39"/>
    <mergeCell ref="B40:H40"/>
    <mergeCell ref="B41:H41"/>
    <mergeCell ref="B42:H42"/>
    <mergeCell ref="B43:H43"/>
    <mergeCell ref="B45:H45"/>
    <mergeCell ref="B46:H46"/>
    <mergeCell ref="B47:C47"/>
    <mergeCell ref="D47:E47"/>
    <mergeCell ref="F47:H47"/>
    <mergeCell ref="B48:C48"/>
    <mergeCell ref="D48:E48"/>
    <mergeCell ref="F48:H48"/>
    <mergeCell ref="B49:C49"/>
    <mergeCell ref="D49:E49"/>
    <mergeCell ref="F49:H49"/>
    <mergeCell ref="B50:C50"/>
    <mergeCell ref="D50:E50"/>
    <mergeCell ref="F50:H50"/>
    <mergeCell ref="B51:C51"/>
    <mergeCell ref="D51:E51"/>
    <mergeCell ref="F51:H51"/>
    <mergeCell ref="B52:C52"/>
    <mergeCell ref="D52:E52"/>
    <mergeCell ref="F52:H52"/>
    <mergeCell ref="B53:C53"/>
    <mergeCell ref="D53:E53"/>
    <mergeCell ref="F53:H53"/>
    <mergeCell ref="B54:C54"/>
    <mergeCell ref="D54:E54"/>
    <mergeCell ref="F54:H54"/>
    <mergeCell ref="B56:H56"/>
    <mergeCell ref="B58:H5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2026-09-23T14:55:31Z</dcterms:created>
  <dc:creator>Z.ai</dc:creator>
  <dc:description>Perceptrón simple para clasificación binaria (compuerta AND) implementado exclusivamente con fórmulas de Excel, sin macros ni VBA.</dc:description>
  <cp:keywords>perceptrón IA Excel compuerta AND aprendizaje</cp:keywords>
  <dc:language>en-US</dc:language>
  <cp:lastModifiedBy/>
  <dcterms:modified xsi:type="dcterms:W3CDTF">2026-09-23T14:55:31Z</dcterms:modified>
  <cp:revision>0</cp:revision>
  <dc:subject>Ejercicio académico de Inteligencia Artificial</dc:subject>
  <dc:title>Perceptrón Simple en Microsoft Excel</dc:title>
</cp:coreProperties>
</file>

<file path=docProps/custom.xml><?xml version="1.0" encoding="utf-8"?>
<Properties xmlns="http://schemas.openxmlformats.org/officeDocument/2006/custom-properties" xmlns:vt="http://schemas.openxmlformats.org/officeDocument/2006/docPropsVTypes"/>
</file>